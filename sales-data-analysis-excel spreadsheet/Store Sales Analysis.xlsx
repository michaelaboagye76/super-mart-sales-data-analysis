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by Qtr" sheetId="1" r:id="rId4"/>
    <sheet state="visible" name="Sales by Region" sheetId="2" r:id="rId5"/>
    <sheet state="visible" name="Sales by Month" sheetId="3" r:id="rId6"/>
    <sheet state="visible" name="Sales by State" sheetId="4" r:id="rId7"/>
    <sheet state="visible" name="Profit by City" sheetId="5" r:id="rId8"/>
    <sheet state="visible" name="Product sales v. Profit" sheetId="6" r:id="rId9"/>
    <sheet state="visible" name="Shipping Cost" sheetId="7" r:id="rId10"/>
    <sheet state="visible" name="Shipping Cost v. Delivery Mode" sheetId="8" r:id="rId11"/>
    <sheet state="visible" name="Marketing Channel v. Customer" sheetId="9" r:id="rId12"/>
    <sheet state="visible" name="Marketing Channel v. Profit" sheetId="10" r:id="rId13"/>
    <sheet state="visible" name="Marketing Channels v. Sales Per" sheetId="11" r:id="rId14"/>
    <sheet state="visible" name="Product Category" sheetId="12" r:id="rId15"/>
    <sheet state="visible" name="Product Profit" sheetId="13" r:id="rId16"/>
  </sheets>
  <definedNames>
    <definedName name="Slicer_Region1">#REF!</definedName>
    <definedName name="Slicer_Region">#REF!</definedName>
    <definedName name="Slicer_Region3">#REF!</definedName>
    <definedName name="Slicer_Region2">#REF!</definedName>
    <definedName hidden="1" localSheetId="0" name="_xlnm._FilterDatabase">'Sales by Qtr'!$B$4:$E$9</definedName>
    <definedName hidden="1" localSheetId="2" name="_xlnm._FilterDatabase">'Sales by Month'!$B$2:$D$19</definedName>
    <definedName hidden="1" localSheetId="7" name="_xlnm._FilterDatabase">'Shipping Cost v. Delivery Mode'!$B$5:$F$14</definedName>
  </definedNames>
  <calcPr/>
  <extLst>
    <ext uri="GoogleSheetsCustomDataVersion2">
      <go:sheetsCustomData xmlns:go="http://customooxmlschemas.google.com/" r:id="rId17" roundtripDataChecksum="ECWQqyGMzZ5yHVDCU5CJxsXBICTtecg6BGdlgxVZgo8="/>
    </ext>
  </extLst>
</workbook>
</file>

<file path=xl/sharedStrings.xml><?xml version="1.0" encoding="utf-8"?>
<sst xmlns="http://schemas.openxmlformats.org/spreadsheetml/2006/main" count="654" uniqueCount="592">
  <si>
    <t>Sales Performance by each Quarter</t>
  </si>
  <si>
    <t>Period</t>
  </si>
  <si>
    <t>Sales Target</t>
  </si>
  <si>
    <t xml:space="preserve"> Sales</t>
  </si>
  <si>
    <t>Column 1</t>
  </si>
  <si>
    <t>Qtr1</t>
  </si>
  <si>
    <t>Qtr2</t>
  </si>
  <si>
    <t>Qtr3</t>
  </si>
  <si>
    <t>Qtr4</t>
  </si>
  <si>
    <t>Grand Total</t>
  </si>
  <si>
    <t>Region</t>
  </si>
  <si>
    <t>Total Sales</t>
  </si>
  <si>
    <t>South</t>
  </si>
  <si>
    <t>Midwest</t>
  </si>
  <si>
    <t>West</t>
  </si>
  <si>
    <t>Northeast</t>
  </si>
  <si>
    <t>Mid-Atlantic</t>
  </si>
  <si>
    <t>Central</t>
  </si>
  <si>
    <t>Pacific Northwest</t>
  </si>
  <si>
    <t>Pacific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</si>
  <si>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</si>
  <si>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</si>
  <si>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</si>
  <si>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</si>
  <si>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</si>
  <si>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</si>
  <si>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</si>
  <si>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</si>
  <si>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</si>
  <si>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</si>
  <si>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</si>
  <si>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</si>
  <si>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</si>
  <si>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State</t>
  </si>
  <si>
    <t>Sum of Sales</t>
  </si>
  <si>
    <t>Michigan</t>
  </si>
  <si>
    <t>Wisconsin</t>
  </si>
  <si>
    <t>North Dakota</t>
  </si>
  <si>
    <t>Illinois</t>
  </si>
  <si>
    <t>Georgia</t>
  </si>
  <si>
    <t>North Carolina</t>
  </si>
  <si>
    <t>Vermont</t>
  </si>
  <si>
    <t>Oregon</t>
  </si>
  <si>
    <t>Tennessee</t>
  </si>
  <si>
    <t>California</t>
  </si>
  <si>
    <t>City</t>
  </si>
  <si>
    <t>Total Profit</t>
  </si>
  <si>
    <t>Profit Margin</t>
  </si>
  <si>
    <t>Profit Margin Goal</t>
  </si>
  <si>
    <t>Profit Margin Status</t>
  </si>
  <si>
    <t>Santa Clara</t>
  </si>
  <si>
    <t>Orlando</t>
  </si>
  <si>
    <t>Richardson</t>
  </si>
  <si>
    <t>San Diego</t>
  </si>
  <si>
    <t>Sacramento</t>
  </si>
  <si>
    <t>Fort Worth</t>
  </si>
  <si>
    <t>Cleveland</t>
  </si>
  <si>
    <t>Plano</t>
  </si>
  <si>
    <t>Ontario</t>
  </si>
  <si>
    <t>Conroe</t>
  </si>
  <si>
    <t>Midland</t>
  </si>
  <si>
    <t>Hagerstown</t>
  </si>
  <si>
    <t>Pharr</t>
  </si>
  <si>
    <t>Redwood City</t>
  </si>
  <si>
    <t>Great Falls</t>
  </si>
  <si>
    <t>El Cajon</t>
  </si>
  <si>
    <t>Highland Park</t>
  </si>
  <si>
    <t>Greensboro</t>
  </si>
  <si>
    <t>Bartlett</t>
  </si>
  <si>
    <t>Logan</t>
  </si>
  <si>
    <t>La Quinta</t>
  </si>
  <si>
    <t>East Point</t>
  </si>
  <si>
    <t>Greenville</t>
  </si>
  <si>
    <t>Mishawaka</t>
  </si>
  <si>
    <t>Eagan</t>
  </si>
  <si>
    <t>Hesperia</t>
  </si>
  <si>
    <t>Oklahoma City</t>
  </si>
  <si>
    <t>Memphis</t>
  </si>
  <si>
    <t>Edmonds</t>
  </si>
  <si>
    <t>Greeley</t>
  </si>
  <si>
    <t>Redding</t>
  </si>
  <si>
    <t>Deltona</t>
  </si>
  <si>
    <t>Antioch</t>
  </si>
  <si>
    <t>Westland</t>
  </si>
  <si>
    <t>Clinton</t>
  </si>
  <si>
    <t>New Castle</t>
  </si>
  <si>
    <t>Sterling Heights</t>
  </si>
  <si>
    <t>Harrisonburg</t>
  </si>
  <si>
    <t>Pensacola</t>
  </si>
  <si>
    <t>Superior</t>
  </si>
  <si>
    <t>Hot Springs</t>
  </si>
  <si>
    <t>Tigard</t>
  </si>
  <si>
    <t>Charlottesville</t>
  </si>
  <si>
    <t>Noblesville</t>
  </si>
  <si>
    <t>Manteca</t>
  </si>
  <si>
    <t>Visalia</t>
  </si>
  <si>
    <t>Bristol</t>
  </si>
  <si>
    <t>Shelton</t>
  </si>
  <si>
    <t>San Luis Obispo</t>
  </si>
  <si>
    <t>Tinley Park</t>
  </si>
  <si>
    <t>Citrus Heights</t>
  </si>
  <si>
    <t>Trenton</t>
  </si>
  <si>
    <t>Vineland</t>
  </si>
  <si>
    <t>Huntington Beach</t>
  </si>
  <si>
    <t>Lake Elsinore</t>
  </si>
  <si>
    <t>Mentor</t>
  </si>
  <si>
    <t>Tyler</t>
  </si>
  <si>
    <t>Saint Petersburg</t>
  </si>
  <si>
    <t>South Bend</t>
  </si>
  <si>
    <t>Montebello</t>
  </si>
  <si>
    <t>Sunnyvale</t>
  </si>
  <si>
    <t>Niagara Falls</t>
  </si>
  <si>
    <t>Orem</t>
  </si>
  <si>
    <t>Brentwood</t>
  </si>
  <si>
    <t>Fairfield</t>
  </si>
  <si>
    <t>Rock Hill</t>
  </si>
  <si>
    <t>Chattanooga</t>
  </si>
  <si>
    <t>Appleton</t>
  </si>
  <si>
    <t>Pasadena</t>
  </si>
  <si>
    <t>Rancho Cucamonga</t>
  </si>
  <si>
    <t>Warner Robins</t>
  </si>
  <si>
    <t>Holyoke</t>
  </si>
  <si>
    <t>Murray</t>
  </si>
  <si>
    <t>Moorhead</t>
  </si>
  <si>
    <t>Ormond Beach</t>
  </si>
  <si>
    <t>Boynton Beach</t>
  </si>
  <si>
    <t>Woonsocket</t>
  </si>
  <si>
    <t>Los Angeles</t>
  </si>
  <si>
    <t>Miami</t>
  </si>
  <si>
    <t>Pasco</t>
  </si>
  <si>
    <t>San Antonio</t>
  </si>
  <si>
    <t>Clovis</t>
  </si>
  <si>
    <t>Davis</t>
  </si>
  <si>
    <t>Auburn</t>
  </si>
  <si>
    <t>Boca Raton</t>
  </si>
  <si>
    <t>Bellevue</t>
  </si>
  <si>
    <t>Homestead</t>
  </si>
  <si>
    <t>Providence</t>
  </si>
  <si>
    <t>Renton</t>
  </si>
  <si>
    <t>Corpus Christi</t>
  </si>
  <si>
    <t>Costa Mesa</t>
  </si>
  <si>
    <t>Urbandale</t>
  </si>
  <si>
    <t>Aurora</t>
  </si>
  <si>
    <t>Nashua</t>
  </si>
  <si>
    <t>Paterson</t>
  </si>
  <si>
    <t>Cambridge</t>
  </si>
  <si>
    <t>Modesto</t>
  </si>
  <si>
    <t>Sparks</t>
  </si>
  <si>
    <t>Huntsville</t>
  </si>
  <si>
    <t>Florence</t>
  </si>
  <si>
    <t>Baltimore</t>
  </si>
  <si>
    <t>Detroit</t>
  </si>
  <si>
    <t>Oswego</t>
  </si>
  <si>
    <t>West Allis</t>
  </si>
  <si>
    <t>Evanston</t>
  </si>
  <si>
    <t>Bakersfield</t>
  </si>
  <si>
    <t>Johnson City</t>
  </si>
  <si>
    <t>Vancouver</t>
  </si>
  <si>
    <t>Eau Claire</t>
  </si>
  <si>
    <t>Medford</t>
  </si>
  <si>
    <t>Park Ridge</t>
  </si>
  <si>
    <t>Danbury</t>
  </si>
  <si>
    <t>Hamilton</t>
  </si>
  <si>
    <t>Lafayette</t>
  </si>
  <si>
    <t>San Mateo</t>
  </si>
  <si>
    <t>Salt Lake City</t>
  </si>
  <si>
    <t>Coachella</t>
  </si>
  <si>
    <t>The Colony</t>
  </si>
  <si>
    <t>Rogers</t>
  </si>
  <si>
    <t>Boise</t>
  </si>
  <si>
    <t>Jefferson City</t>
  </si>
  <si>
    <t>Bridgeton</t>
  </si>
  <si>
    <t>Torrance</t>
  </si>
  <si>
    <t>Reno</t>
  </si>
  <si>
    <t>Norman</t>
  </si>
  <si>
    <t>Lincoln Park</t>
  </si>
  <si>
    <t>Roswell</t>
  </si>
  <si>
    <t>Aberdeen</t>
  </si>
  <si>
    <t>Hickory</t>
  </si>
  <si>
    <t>Harlingen</t>
  </si>
  <si>
    <t>Cincinnati</t>
  </si>
  <si>
    <t>Fremont</t>
  </si>
  <si>
    <t>Oak Park</t>
  </si>
  <si>
    <t>Danville</t>
  </si>
  <si>
    <t>Rockville</t>
  </si>
  <si>
    <t>Oceanside</t>
  </si>
  <si>
    <t>Marysville</t>
  </si>
  <si>
    <t>Missouri City</t>
  </si>
  <si>
    <t>Morristown</t>
  </si>
  <si>
    <t>Atlanta</t>
  </si>
  <si>
    <t>San Bernardino</t>
  </si>
  <si>
    <t>Kenosha</t>
  </si>
  <si>
    <t>Troy</t>
  </si>
  <si>
    <t>Salem</t>
  </si>
  <si>
    <t>Lakeville</t>
  </si>
  <si>
    <t>Little Rock</t>
  </si>
  <si>
    <t>Saint Cloud</t>
  </si>
  <si>
    <t>Cedar Hill</t>
  </si>
  <si>
    <t>Palatine</t>
  </si>
  <si>
    <t>Concord</t>
  </si>
  <si>
    <t>Atlantic City</t>
  </si>
  <si>
    <t>Pembroke Pines</t>
  </si>
  <si>
    <t>Elmhurst</t>
  </si>
  <si>
    <t>Colorado Springs</t>
  </si>
  <si>
    <t>Sanford</t>
  </si>
  <si>
    <t>Tuscaloosa</t>
  </si>
  <si>
    <t>Olathe</t>
  </si>
  <si>
    <t>Gastonia</t>
  </si>
  <si>
    <t>Quincy</t>
  </si>
  <si>
    <t>Bozeman</t>
  </si>
  <si>
    <t>Margate</t>
  </si>
  <si>
    <t>Thornton</t>
  </si>
  <si>
    <t>Broomfield</t>
  </si>
  <si>
    <t>Lake Forest</t>
  </si>
  <si>
    <t>Lehi</t>
  </si>
  <si>
    <t>Anchorage</t>
  </si>
  <si>
    <t>Lake Charles</t>
  </si>
  <si>
    <t>Arlington</t>
  </si>
  <si>
    <t>Deer Park</t>
  </si>
  <si>
    <t>Monroe</t>
  </si>
  <si>
    <t>Pueblo</t>
  </si>
  <si>
    <t>Apopka</t>
  </si>
  <si>
    <t>Wilmington</t>
  </si>
  <si>
    <t>Lakeland</t>
  </si>
  <si>
    <t>Rapid City</t>
  </si>
  <si>
    <t>Coon Rapids</t>
  </si>
  <si>
    <t>Bryan</t>
  </si>
  <si>
    <t>Asheville</t>
  </si>
  <si>
    <t>Richmond</t>
  </si>
  <si>
    <t>Gaithersburg</t>
  </si>
  <si>
    <t>Conway</t>
  </si>
  <si>
    <t>Jacksonville</t>
  </si>
  <si>
    <t>Dublin</t>
  </si>
  <si>
    <t>Independence</t>
  </si>
  <si>
    <t>Kirkwood</t>
  </si>
  <si>
    <t>San Jose</t>
  </si>
  <si>
    <t>West Palm Beach</t>
  </si>
  <si>
    <t>Dubuque</t>
  </si>
  <si>
    <t>Newport News</t>
  </si>
  <si>
    <t>Rochester Hills</t>
  </si>
  <si>
    <t>West Jordan</t>
  </si>
  <si>
    <t>Laredo</t>
  </si>
  <si>
    <t>Murrieta</t>
  </si>
  <si>
    <t>Port Orange</t>
  </si>
  <si>
    <t>Bossier City</t>
  </si>
  <si>
    <t>Hackensack</t>
  </si>
  <si>
    <t>Lewiston</t>
  </si>
  <si>
    <t>Fort Collins</t>
  </si>
  <si>
    <t>Grove City</t>
  </si>
  <si>
    <t>Frisco</t>
  </si>
  <si>
    <t>Lakewood</t>
  </si>
  <si>
    <t>Roseville</t>
  </si>
  <si>
    <t>Tulsa</t>
  </si>
  <si>
    <t>Andover</t>
  </si>
  <si>
    <t>Sheboygan</t>
  </si>
  <si>
    <t>Newark</t>
  </si>
  <si>
    <t>Loveland</t>
  </si>
  <si>
    <t>Longview</t>
  </si>
  <si>
    <t>Missoula</t>
  </si>
  <si>
    <t>Waco</t>
  </si>
  <si>
    <t>Coral Springs</t>
  </si>
  <si>
    <t>Sioux Falls</t>
  </si>
  <si>
    <t>Nashville</t>
  </si>
  <si>
    <t>Hialeah</t>
  </si>
  <si>
    <t>Draper</t>
  </si>
  <si>
    <t>Fargo</t>
  </si>
  <si>
    <t>Meriden</t>
  </si>
  <si>
    <t>Overland Park</t>
  </si>
  <si>
    <t>Knoxville</t>
  </si>
  <si>
    <t>Mobile</t>
  </si>
  <si>
    <t>Bethlehem</t>
  </si>
  <si>
    <t>Warwick</t>
  </si>
  <si>
    <t>Iowa City</t>
  </si>
  <si>
    <t>Saint Peters</t>
  </si>
  <si>
    <t>Athens</t>
  </si>
  <si>
    <t>Summerville</t>
  </si>
  <si>
    <t>Baytown</t>
  </si>
  <si>
    <t>Wichita</t>
  </si>
  <si>
    <t>Clifton</t>
  </si>
  <si>
    <t>Des Plaines</t>
  </si>
  <si>
    <t>Wausau</t>
  </si>
  <si>
    <t>Milford</t>
  </si>
  <si>
    <t>Chandler</t>
  </si>
  <si>
    <t>Saint Charles</t>
  </si>
  <si>
    <t>Laurel</t>
  </si>
  <si>
    <t>Columbus</t>
  </si>
  <si>
    <t>Meridian</t>
  </si>
  <si>
    <t>Jonesboro</t>
  </si>
  <si>
    <t>Kent</t>
  </si>
  <si>
    <t>Frankfort</t>
  </si>
  <si>
    <t>Marlborough</t>
  </si>
  <si>
    <t>North Charleston</t>
  </si>
  <si>
    <t>Murfreesboro</t>
  </si>
  <si>
    <t>Bowling Green</t>
  </si>
  <si>
    <t>Hillsboro</t>
  </si>
  <si>
    <t>Tamarac</t>
  </si>
  <si>
    <t>San Clemente</t>
  </si>
  <si>
    <t>Rio Rancho</t>
  </si>
  <si>
    <t>Omaha</t>
  </si>
  <si>
    <t>Fayetteville</t>
  </si>
  <si>
    <t>Allentown</t>
  </si>
  <si>
    <t>Portland</t>
  </si>
  <si>
    <t>Taylor</t>
  </si>
  <si>
    <t>Rochester</t>
  </si>
  <si>
    <t>Port Arthur</t>
  </si>
  <si>
    <t>New Rochelle</t>
  </si>
  <si>
    <t>Goldsboro</t>
  </si>
  <si>
    <t>Seattle</t>
  </si>
  <si>
    <t>Manhattan</t>
  </si>
  <si>
    <t>Smyrna</t>
  </si>
  <si>
    <t>Des Moines</t>
  </si>
  <si>
    <t>La Porte</t>
  </si>
  <si>
    <t>Sierra Vista</t>
  </si>
  <si>
    <t>North Las Vegas</t>
  </si>
  <si>
    <t>Billings</t>
  </si>
  <si>
    <t>Cheyenne</t>
  </si>
  <si>
    <t>Coppell</t>
  </si>
  <si>
    <t>Lawton</t>
  </si>
  <si>
    <t>Pleasant Grove</t>
  </si>
  <si>
    <t>Normal</t>
  </si>
  <si>
    <t>Norfolk</t>
  </si>
  <si>
    <t>Lancaster</t>
  </si>
  <si>
    <t>Woodstock</t>
  </si>
  <si>
    <t>Tampa</t>
  </si>
  <si>
    <t>Jamestown</t>
  </si>
  <si>
    <t>Daytona Beach</t>
  </si>
  <si>
    <t>Chapel Hill</t>
  </si>
  <si>
    <t>Saginaw</t>
  </si>
  <si>
    <t>Muskogee</t>
  </si>
  <si>
    <t>Chula Vista</t>
  </si>
  <si>
    <t>Franklin</t>
  </si>
  <si>
    <t>Commerce City</t>
  </si>
  <si>
    <t>Laguna Niguel</t>
  </si>
  <si>
    <t>Peoria</t>
  </si>
  <si>
    <t>Glenview</t>
  </si>
  <si>
    <t>Virginia Beach</t>
  </si>
  <si>
    <t>Coral Gables</t>
  </si>
  <si>
    <t>Tempe</t>
  </si>
  <si>
    <t>Portage</t>
  </si>
  <si>
    <t>Farmington</t>
  </si>
  <si>
    <t>Burbank</t>
  </si>
  <si>
    <t>Dover</t>
  </si>
  <si>
    <t>Romeoville</t>
  </si>
  <si>
    <t>Skokie</t>
  </si>
  <si>
    <t>Kenner</t>
  </si>
  <si>
    <t>Round Rock</t>
  </si>
  <si>
    <t>Hoover</t>
  </si>
  <si>
    <t>Bolingbrook</t>
  </si>
  <si>
    <t>Greenwood</t>
  </si>
  <si>
    <t>Mcallen</t>
  </si>
  <si>
    <t>Covington</t>
  </si>
  <si>
    <t>Long Beach</t>
  </si>
  <si>
    <t>Indianapolis</t>
  </si>
  <si>
    <t>Las Cruces</t>
  </si>
  <si>
    <t>Santa Fe</t>
  </si>
  <si>
    <t>Macon</t>
  </si>
  <si>
    <t>Toledo</t>
  </si>
  <si>
    <t>Bellingham</t>
  </si>
  <si>
    <t>Wheeling</t>
  </si>
  <si>
    <t>Haltom City</t>
  </si>
  <si>
    <t>Springfield</t>
  </si>
  <si>
    <t>New Brunswick</t>
  </si>
  <si>
    <t>Pine Bluff</t>
  </si>
  <si>
    <t>Everett</t>
  </si>
  <si>
    <t>Waukesha</t>
  </si>
  <si>
    <t>Decatur</t>
  </si>
  <si>
    <t>Eugene</t>
  </si>
  <si>
    <t>Columbia</t>
  </si>
  <si>
    <t>Vacaville</t>
  </si>
  <si>
    <t>Apple Valley</t>
  </si>
  <si>
    <t>Plantation</t>
  </si>
  <si>
    <t>Chester</t>
  </si>
  <si>
    <t>Georgetown</t>
  </si>
  <si>
    <t>Redmond</t>
  </si>
  <si>
    <t>Denver</t>
  </si>
  <si>
    <t>Durham</t>
  </si>
  <si>
    <t>Pomona</t>
  </si>
  <si>
    <t>Orland Park</t>
  </si>
  <si>
    <t>Provo</t>
  </si>
  <si>
    <t>Lowell</t>
  </si>
  <si>
    <t>Champaign</t>
  </si>
  <si>
    <t>Hendersonville</t>
  </si>
  <si>
    <t>Manchester</t>
  </si>
  <si>
    <t>Waterbury</t>
  </si>
  <si>
    <t>Louisville</t>
  </si>
  <si>
    <t>Minneapolis</t>
  </si>
  <si>
    <t>Westminster</t>
  </si>
  <si>
    <t>La Crosse</t>
  </si>
  <si>
    <t>Anaheim</t>
  </si>
  <si>
    <t>Saint Paul</t>
  </si>
  <si>
    <t>Reading</t>
  </si>
  <si>
    <t>Layton</t>
  </si>
  <si>
    <t>Carlsbad</t>
  </si>
  <si>
    <t>Broken Arrow</t>
  </si>
  <si>
    <t>Fresno</t>
  </si>
  <si>
    <t>Hollywood</t>
  </si>
  <si>
    <t>Helena</t>
  </si>
  <si>
    <t>Moreno Valley</t>
  </si>
  <si>
    <t>Temecula</t>
  </si>
  <si>
    <t>Malden</t>
  </si>
  <si>
    <t>Grand Island</t>
  </si>
  <si>
    <t>Clarksville</t>
  </si>
  <si>
    <t>Plainfield</t>
  </si>
  <si>
    <t>Pearland</t>
  </si>
  <si>
    <t>Lawrence</t>
  </si>
  <si>
    <t>Bangor</t>
  </si>
  <si>
    <t>Glendale</t>
  </si>
  <si>
    <t>Kissimmee</t>
  </si>
  <si>
    <t>San Francisco</t>
  </si>
  <si>
    <t>Cedar Rapids</t>
  </si>
  <si>
    <t>Waterloo</t>
  </si>
  <si>
    <t>Norwich</t>
  </si>
  <si>
    <t>Raleigh</t>
  </si>
  <si>
    <t>Olympia</t>
  </si>
  <si>
    <t>Grand Rapids</t>
  </si>
  <si>
    <t>Philadelphia</t>
  </si>
  <si>
    <t>North Miami</t>
  </si>
  <si>
    <t>Elkhart</t>
  </si>
  <si>
    <t>San Angelo</t>
  </si>
  <si>
    <t>Belleville</t>
  </si>
  <si>
    <t>Burlington</t>
  </si>
  <si>
    <t>Pocatello</t>
  </si>
  <si>
    <t>Beaumont</t>
  </si>
  <si>
    <t>Henderson</t>
  </si>
  <si>
    <t>Arlington Heights</t>
  </si>
  <si>
    <t>Vallejo</t>
  </si>
  <si>
    <t>Cary</t>
  </si>
  <si>
    <t>Encinitas</t>
  </si>
  <si>
    <t>Bloomington</t>
  </si>
  <si>
    <t>Parker</t>
  </si>
  <si>
    <t>Texarkana</t>
  </si>
  <si>
    <t>Middletown</t>
  </si>
  <si>
    <t>Hampton</t>
  </si>
  <si>
    <t>Lindenhurst</t>
  </si>
  <si>
    <t>Springdale</t>
  </si>
  <si>
    <t>Lodi</t>
  </si>
  <si>
    <t>Twin Falls</t>
  </si>
  <si>
    <t>Lebanon</t>
  </si>
  <si>
    <t>Salinas</t>
  </si>
  <si>
    <t>Lorain</t>
  </si>
  <si>
    <t>Pico Rivera</t>
  </si>
  <si>
    <t>Owensboro</t>
  </si>
  <si>
    <t>Royal Oak</t>
  </si>
  <si>
    <t>Beverly</t>
  </si>
  <si>
    <t>Montgomery</t>
  </si>
  <si>
    <t>Maple Grove</t>
  </si>
  <si>
    <t>Gresham</t>
  </si>
  <si>
    <t>Marion</t>
  </si>
  <si>
    <t>Garland</t>
  </si>
  <si>
    <t>Charlotte</t>
  </si>
  <si>
    <t>Santa Ana</t>
  </si>
  <si>
    <t>Chico</t>
  </si>
  <si>
    <t>Freeport</t>
  </si>
  <si>
    <t>Buffalo Grove</t>
  </si>
  <si>
    <t>Lubbock</t>
  </si>
  <si>
    <t>Mount Vernon</t>
  </si>
  <si>
    <t>Green Bay</t>
  </si>
  <si>
    <t>Las Vegas</t>
  </si>
  <si>
    <t>Altoona</t>
  </si>
  <si>
    <t>Hempstead</t>
  </si>
  <si>
    <t>Medina</t>
  </si>
  <si>
    <t>Austin</t>
  </si>
  <si>
    <t>Abilene</t>
  </si>
  <si>
    <t>Pompano Beach</t>
  </si>
  <si>
    <t>Phoenix</t>
  </si>
  <si>
    <t>League City</t>
  </si>
  <si>
    <t>Carol Stream</t>
  </si>
  <si>
    <t>Orange</t>
  </si>
  <si>
    <t>Oakland</t>
  </si>
  <si>
    <t>San Marcos</t>
  </si>
  <si>
    <t>Morgan Hill</t>
  </si>
  <si>
    <t>Milwaukee</t>
  </si>
  <si>
    <t>Gilbert</t>
  </si>
  <si>
    <t>Ann Arbor</t>
  </si>
  <si>
    <t>Stockton</t>
  </si>
  <si>
    <t>Marietta</t>
  </si>
  <si>
    <t>Alexandria</t>
  </si>
  <si>
    <t>Albuquerque</t>
  </si>
  <si>
    <t>Holland</t>
  </si>
  <si>
    <t>Canton</t>
  </si>
  <si>
    <t>Buffalo</t>
  </si>
  <si>
    <t>Arvada</t>
  </si>
  <si>
    <t>New Bedford</t>
  </si>
  <si>
    <t>Mason</t>
  </si>
  <si>
    <t>El Paso</t>
  </si>
  <si>
    <t>Rockford</t>
  </si>
  <si>
    <t>Cranston</t>
  </si>
  <si>
    <t>Thousand Oaks</t>
  </si>
  <si>
    <t>Yuma</t>
  </si>
  <si>
    <t>Scottsdale</t>
  </si>
  <si>
    <t>Avondale</t>
  </si>
  <si>
    <t>Keller</t>
  </si>
  <si>
    <t>Bayonne</t>
  </si>
  <si>
    <t>Garden City</t>
  </si>
  <si>
    <t>Tallahassee</t>
  </si>
  <si>
    <t>Sandy Springs</t>
  </si>
  <si>
    <t>Madison</t>
  </si>
  <si>
    <t>La Mesa</t>
  </si>
  <si>
    <t>Wilson</t>
  </si>
  <si>
    <t>Edmond</t>
  </si>
  <si>
    <t>Mission Viejo</t>
  </si>
  <si>
    <t>Leominster</t>
  </si>
  <si>
    <t>Miramar</t>
  </si>
  <si>
    <t>Suffolk</t>
  </si>
  <si>
    <t>Longmont</t>
  </si>
  <si>
    <t>Port Saint Lucie</t>
  </si>
  <si>
    <t>Mount Pleasant</t>
  </si>
  <si>
    <t>Lansing</t>
  </si>
  <si>
    <t>Tucson</t>
  </si>
  <si>
    <t>Watertown</t>
  </si>
  <si>
    <t>Melbourne</t>
  </si>
  <si>
    <t>Dallas</t>
  </si>
  <si>
    <t>Revere</t>
  </si>
  <si>
    <t>Westfield</t>
  </si>
  <si>
    <t>Bedford</t>
  </si>
  <si>
    <t>Jackson</t>
  </si>
  <si>
    <t>Carrollton</t>
  </si>
  <si>
    <t>Saint Louis</t>
  </si>
  <si>
    <t>York</t>
  </si>
  <si>
    <t>Naperville</t>
  </si>
  <si>
    <t>Cuyahoga Falls</t>
  </si>
  <si>
    <t>Caldwell</t>
  </si>
  <si>
    <t>Cottage Grove</t>
  </si>
  <si>
    <t>Dearborn</t>
  </si>
  <si>
    <t>Santa Barbara</t>
  </si>
  <si>
    <t>Bullhead City</t>
  </si>
  <si>
    <t>Linden</t>
  </si>
  <si>
    <t>Irving</t>
  </si>
  <si>
    <t>Fort Lauderdale</t>
  </si>
  <si>
    <t>Texas City</t>
  </si>
  <si>
    <t>New Albany</t>
  </si>
  <si>
    <t>Englewood</t>
  </si>
  <si>
    <t>Chesapeake</t>
  </si>
  <si>
    <t>Chicago</t>
  </si>
  <si>
    <t>Gladstone</t>
  </si>
  <si>
    <t>Santa Maria</t>
  </si>
  <si>
    <t>Woodbury</t>
  </si>
  <si>
    <t>Mansfield</t>
  </si>
  <si>
    <t>East Orange</t>
  </si>
  <si>
    <t>Mesa</t>
  </si>
  <si>
    <t>Akron</t>
  </si>
  <si>
    <t>Whittier</t>
  </si>
  <si>
    <t>San Gabriel</t>
  </si>
  <si>
    <t>College Station</t>
  </si>
  <si>
    <t>Mesquite</t>
  </si>
  <si>
    <t>Littleton</t>
  </si>
  <si>
    <t>New York City</t>
  </si>
  <si>
    <t>Houston</t>
  </si>
  <si>
    <t>Spokane</t>
  </si>
  <si>
    <t>Delray Beach</t>
  </si>
  <si>
    <t>Dearborn Heights</t>
  </si>
  <si>
    <t>Odessa</t>
  </si>
  <si>
    <t>Riverside</t>
  </si>
  <si>
    <t>Camarillo</t>
  </si>
  <si>
    <t>Allen</t>
  </si>
  <si>
    <t>Grand Prairie</t>
  </si>
  <si>
    <t>Edinburg</t>
  </si>
  <si>
    <t>Escondido</t>
  </si>
  <si>
    <t>Utica</t>
  </si>
  <si>
    <t>Hattiesburg</t>
  </si>
  <si>
    <t>Jupiter</t>
  </si>
  <si>
    <t>Palm Coast</t>
  </si>
  <si>
    <t>Grapevine</t>
  </si>
  <si>
    <t>Category</t>
  </si>
  <si>
    <t>Furniture</t>
  </si>
  <si>
    <t>Office Supplies</t>
  </si>
  <si>
    <t>Technology</t>
  </si>
  <si>
    <t>Sum of Shipping Cost</t>
  </si>
  <si>
    <t>Column Labels</t>
  </si>
  <si>
    <t>Row Labels</t>
  </si>
  <si>
    <t>Delivery Truck</t>
  </si>
  <si>
    <t>Regular Air</t>
  </si>
  <si>
    <t>Express Air</t>
  </si>
  <si>
    <t>Total Shipping Cost</t>
  </si>
  <si>
    <t>--</t>
  </si>
  <si>
    <t>__</t>
  </si>
  <si>
    <t>Marketing Channel</t>
  </si>
  <si>
    <t>Consumer</t>
  </si>
  <si>
    <t>Corporate</t>
  </si>
  <si>
    <t>Home Office</t>
  </si>
  <si>
    <t>Small Business</t>
  </si>
  <si>
    <t>Email Marketing</t>
  </si>
  <si>
    <t>Direct Sales</t>
  </si>
  <si>
    <t>Tradeshows and Events</t>
  </si>
  <si>
    <t>Google Adwords</t>
  </si>
  <si>
    <t>Direct Mail</t>
  </si>
  <si>
    <t>Social Media</t>
  </si>
  <si>
    <t>SEO</t>
  </si>
  <si>
    <t>MC</t>
  </si>
  <si>
    <t xml:space="preserve"> Sales Target</t>
  </si>
  <si>
    <t>Sum of Sales Target</t>
  </si>
  <si>
    <t>category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</si>
</sst>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$-C09]#,##0.00"/>
    <numFmt numFmtId="165" formatCode="[$$-2809]#,##0.00"/>
    <numFmt numFmtId="166" formatCode="[$$-45C]#,##0.00"/>
    <numFmt numFmtId="167" formatCode="0.00%;\-0.00%;0.00%"/>
    <numFmt numFmtId="168" formatCode="[$$-1004]#,##0.00"/>
  </numFmts>
  <fonts count="10">
    <font>
      <sz val="12.0"/>
      <color theme="1"/>
      <name val="Tahoma"/>
      <scheme val="minor"/>
    </font>
    <font>
      <sz val="12.0"/>
      <color theme="1"/>
      <name val="Calibri"/>
    </font>
    <font>
      <sz val="20.0"/>
      <color rgb="FF000000"/>
      <name val="Calibri"/>
    </font>
    <font>
      <sz val="17.0"/>
      <color theme="1"/>
      <name val="Calibri"/>
    </font>
    <font>
      <sz val="12.0"/>
      <color theme="1"/>
      <name val="Tahoma"/>
    </font>
    <font>
      <color theme="1"/>
      <name val="Tahoma"/>
    </font>
    <font>
      <sz val="12.0"/>
      <color theme="0"/>
      <name val="Tahoma"/>
    </font>
    <font>
      <sz val="12.0"/>
      <color rgb="FFE7E6E6"/>
      <name val="Calibri"/>
    </font>
    <font>
      <sz val="12.0"/>
      <color theme="0"/>
      <name val="Calibri"/>
    </font>
    <font>
      <sz val="18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DD9D4"/>
        <bgColor rgb="FFCDD9D4"/>
      </patternFill>
    </fill>
    <fill>
      <patternFill patternType="solid">
        <fgColor rgb="FF333F4F"/>
        <bgColor rgb="FF333F4F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</fills>
  <borders count="1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CDD9D4"/>
      </right>
      <top style="double">
        <color rgb="FF284E3F"/>
      </top>
      <bottom style="thin">
        <color rgb="FF284E3F"/>
      </bottom>
    </border>
    <border>
      <left style="thin">
        <color rgb="FFCDD9D4"/>
      </left>
      <right style="thin">
        <color rgb="FFCDD9D4"/>
      </right>
      <top style="double">
        <color rgb="FF284E3F"/>
      </top>
      <bottom style="thin">
        <color rgb="FF284E3F"/>
      </bottom>
    </border>
    <border>
      <left style="thin">
        <color rgb="FFCDD9D4"/>
      </left>
      <right style="thin">
        <color rgb="FF284E3F"/>
      </right>
      <top style="double">
        <color rgb="FF284E3F"/>
      </top>
      <bottom style="thin">
        <color rgb="FF284E3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horizontal="left" shrinkToFit="0" vertical="center" wrapText="0"/>
    </xf>
    <xf borderId="5" fillId="0" fontId="1" numFmtId="164" xfId="0" applyAlignment="1" applyBorder="1" applyFont="1" applyNumberForma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horizontal="left" shrinkToFit="0" vertical="center" wrapText="0"/>
    </xf>
    <xf borderId="8" fillId="0" fontId="1" numFmtId="164" xfId="0" applyAlignment="1" applyBorder="1" applyFont="1" applyNumberForma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2" fontId="1" numFmtId="0" xfId="0" applyAlignment="1" applyBorder="1" applyFill="1" applyFont="1">
      <alignment horizontal="left" shrinkToFit="0" vertical="center" wrapText="0"/>
    </xf>
    <xf borderId="11" fillId="2" fontId="1" numFmtId="164" xfId="0" applyAlignment="1" applyBorder="1" applyFont="1" applyNumberFormat="1">
      <alignment shrinkToFit="0" vertical="center" wrapText="0"/>
    </xf>
    <xf borderId="12" fillId="2" fontId="1" numFmtId="0" xfId="0" applyAlignment="1" applyBorder="1" applyFont="1">
      <alignment shrinkToFit="0" vertical="center" wrapText="0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horizontal="left"/>
    </xf>
    <xf borderId="0" fillId="0" fontId="4" numFmtId="164" xfId="0" applyFont="1" applyNumberFormat="1"/>
    <xf borderId="0" fillId="0" fontId="6" numFmtId="0" xfId="0" applyFont="1"/>
    <xf borderId="0" fillId="0" fontId="6" numFmtId="164" xfId="0" applyFont="1" applyNumberFormat="1"/>
    <xf borderId="0" fillId="0" fontId="6" numFmtId="9" xfId="0" applyFont="1" applyNumberFormat="1"/>
    <xf borderId="0" fillId="0" fontId="1" numFmtId="0" xfId="0" applyAlignment="1" applyFont="1">
      <alignment horizontal="left"/>
    </xf>
    <xf borderId="0" fillId="0" fontId="1" numFmtId="165" xfId="0" applyFont="1" applyNumberFormat="1"/>
    <xf borderId="0" fillId="0" fontId="1" numFmtId="166" xfId="0" applyFont="1" applyNumberFormat="1"/>
    <xf borderId="0" fillId="0" fontId="1" numFmtId="164" xfId="0" applyFont="1" applyNumberFormat="1"/>
    <xf borderId="0" fillId="0" fontId="1" numFmtId="9" xfId="0" applyAlignment="1" applyFont="1" applyNumberFormat="1">
      <alignment horizontal="center"/>
    </xf>
    <xf borderId="13" fillId="3" fontId="7" numFmtId="0" xfId="0" applyBorder="1" applyFill="1" applyFont="1"/>
    <xf borderId="13" fillId="3" fontId="7" numFmtId="164" xfId="0" applyBorder="1" applyFont="1" applyNumberFormat="1"/>
    <xf borderId="13" fillId="3" fontId="7" numFmtId="9" xfId="0" applyBorder="1" applyFont="1" applyNumberFormat="1"/>
    <xf borderId="13" fillId="3" fontId="7" numFmtId="0" xfId="0" applyAlignment="1" applyBorder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7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8" numFmtId="10" xfId="0" applyFont="1" applyNumberFormat="1"/>
    <xf borderId="0" fillId="0" fontId="8" numFmtId="0" xfId="0" applyFont="1"/>
    <xf borderId="0" fillId="0" fontId="1" numFmtId="9" xfId="0" applyFont="1" applyNumberFormat="1"/>
    <xf borderId="0" fillId="0" fontId="1" numFmtId="168" xfId="0" applyFont="1" applyNumberFormat="1"/>
    <xf borderId="0" fillId="0" fontId="9" numFmtId="168" xfId="0" applyFont="1" applyNumberFormat="1"/>
    <xf borderId="13" fillId="4" fontId="1" numFmtId="164" xfId="0" applyBorder="1" applyFill="1" applyFont="1" applyNumberFormat="1"/>
    <xf borderId="13" fillId="5" fontId="1" numFmtId="164" xfId="0" applyBorder="1" applyFill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</dxfs>
  <tableStyles count="1">
    <tableStyle count="4" pivot="0" name="Sales by Qtr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Sales Target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'Sales by Qtr'!$B$5:$B$9</c:f>
            </c:strRef>
          </c:cat>
          <c:val>
            <c:numRef>
              <c:f>'Sales by Qtr'!$C$5:$C$9</c:f>
              <c:numCache/>
            </c:numRef>
          </c:val>
        </c:ser>
        <c:ser>
          <c:idx val="1"/>
          <c:order val="1"/>
          <c:tx>
            <c:v> Sales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trendline>
            <c:name>Linear ( Sales)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'Sales by Qtr'!$B$5:$B$9</c:f>
            </c:strRef>
          </c:cat>
          <c:val>
            <c:numRef>
              <c:f>'Sales by Qtr'!$D$5:$D$9</c:f>
              <c:numCache/>
            </c:numRef>
          </c:val>
        </c:ser>
        <c:axId val="927924568"/>
        <c:axId val="973427806"/>
      </c:barChart>
      <c:catAx>
        <c:axId val="927924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973427806"/>
      </c:catAx>
      <c:valAx>
        <c:axId val="9734278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92792456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Sales Target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'Sales by Month'!$B$3:$B$19</c:f>
            </c:strRef>
          </c:cat>
          <c:val>
            <c:numRef>
              <c:f>'Sales by Month'!$C$3:$C$19</c:f>
              <c:numCache/>
            </c:numRef>
          </c:val>
        </c:ser>
        <c:ser>
          <c:idx val="1"/>
          <c:order val="1"/>
          <c:tx>
            <c:v>Sales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'Sales by Month'!$B$3:$B$19</c:f>
            </c:strRef>
          </c:cat>
          <c:val>
            <c:numRef>
              <c:f>'Sales by Month'!$D$3:$D$19</c:f>
              <c:numCache/>
            </c:numRef>
          </c:val>
        </c:ser>
        <c:axId val="669962611"/>
        <c:axId val="2024962168"/>
      </c:barChart>
      <c:catAx>
        <c:axId val="669962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2024962168"/>
      </c:catAx>
      <c:valAx>
        <c:axId val="20249621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669962611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'Sales by State'!$B$3:$B$13</c:f>
            </c:strRef>
          </c:cat>
          <c:val>
            <c:numRef>
              <c:f>'Sales by State'!$C$3:$C$13</c:f>
              <c:numCache/>
            </c:numRef>
          </c:val>
        </c:ser>
        <c:axId val="1421614018"/>
        <c:axId val="1859737829"/>
      </c:barChart>
      <c:catAx>
        <c:axId val="14216140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859737829"/>
      </c:catAx>
      <c:valAx>
        <c:axId val="18597378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42161401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 Sales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'Product sales v. Profit'!$B$3:$B$6</c:f>
            </c:strRef>
          </c:cat>
          <c:val>
            <c:numRef>
              <c:f>'Product sales v. Profit'!$C$3:$C$6</c:f>
              <c:numCache/>
            </c:numRef>
          </c:val>
        </c:ser>
        <c:ser>
          <c:idx val="1"/>
          <c:order val="1"/>
          <c:tx>
            <c:v>Total Profit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'Product sales v. Profit'!$B$3:$B$6</c:f>
            </c:strRef>
          </c:cat>
          <c:val>
            <c:numRef>
              <c:f>'Product sales v. Profit'!$D$3:$D$6</c:f>
              <c:numCache/>
            </c:numRef>
          </c:val>
        </c:ser>
        <c:axId val="396373861"/>
        <c:axId val="74319583"/>
      </c:barChart>
      <c:catAx>
        <c:axId val="3963738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74319583"/>
      </c:catAx>
      <c:valAx>
        <c:axId val="743195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396373861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Mid-Atlantic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'Shipping Cost'!$B$4:$B$7</c:f>
            </c:strRef>
          </c:cat>
          <c:val>
            <c:numRef>
              <c:f>'Shipping Cost'!$C$4:$C$7</c:f>
              <c:numCache/>
            </c:numRef>
          </c:val>
        </c:ser>
        <c:axId val="1714610519"/>
        <c:axId val="1060901527"/>
      </c:barChart>
      <c:catAx>
        <c:axId val="1714610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060901527"/>
      </c:catAx>
      <c:valAx>
        <c:axId val="10609015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14610519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Delivery Truck, Express Air and Regular Air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'Shipping Cost v. Delivery Mode'!$C$4:$C$5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'Shipping Cost v. Delivery Mode'!$B$6:$B$13</c:f>
            </c:strRef>
          </c:cat>
          <c:val>
            <c:numRef>
              <c:f>'Shipping Cost v. Delivery Mode'!$C$6:$C$13</c:f>
              <c:numCache/>
            </c:numRef>
          </c:val>
        </c:ser>
        <c:ser>
          <c:idx val="1"/>
          <c:order val="1"/>
          <c:tx>
            <c:strRef>
              <c:f>'Shipping Cost v. Delivery Mode'!$D$4:$D$5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'Shipping Cost v. Delivery Mode'!$B$6:$B$13</c:f>
            </c:strRef>
          </c:cat>
          <c:val>
            <c:numRef>
              <c:f>'Shipping Cost v. Delivery Mode'!$D$6:$D$13</c:f>
              <c:numCache/>
            </c:numRef>
          </c:val>
        </c:ser>
        <c:ser>
          <c:idx val="2"/>
          <c:order val="2"/>
          <c:tx>
            <c:strRef>
              <c:f>'Shipping Cost v. Delivery Mode'!$E$4:$E$5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'Shipping Cost v. Delivery Mode'!$B$6:$B$13</c:f>
            </c:strRef>
          </c:cat>
          <c:val>
            <c:numRef>
              <c:f>'Shipping Cost v. Delivery Mode'!$E$6:$E$13</c:f>
              <c:numCache/>
            </c:numRef>
          </c:val>
        </c:ser>
        <c:axId val="943161017"/>
        <c:axId val="230111376"/>
      </c:barChart>
      <c:catAx>
        <c:axId val="9431610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0111376"/>
      </c:catAx>
      <c:valAx>
        <c:axId val="2301113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31610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Consumer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'Marketing Channel v. Customer'!$B$6:$B$13</c:f>
            </c:strRef>
          </c:cat>
          <c:val>
            <c:numRef>
              <c:f>'Marketing Channel v. Customer'!$C$6:$C$13</c:f>
              <c:numCache/>
            </c:numRef>
          </c:val>
        </c:ser>
        <c:ser>
          <c:idx val="1"/>
          <c:order val="1"/>
          <c:tx>
            <c:v>Corporate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'Marketing Channel v. Customer'!$B$6:$B$13</c:f>
            </c:strRef>
          </c:cat>
          <c:val>
            <c:numRef>
              <c:f>'Marketing Channel v. Customer'!$D$6:$D$13</c:f>
              <c:numCache/>
            </c:numRef>
          </c:val>
        </c:ser>
        <c:ser>
          <c:idx val="2"/>
          <c:order val="2"/>
          <c:tx>
            <c:v>Home Office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'Marketing Channel v. Customer'!$B$6:$B$13</c:f>
            </c:strRef>
          </c:cat>
          <c:val>
            <c:numRef>
              <c:f>'Marketing Channel v. Customer'!$E$6:$E$13</c:f>
              <c:numCache/>
            </c:numRef>
          </c:val>
        </c:ser>
        <c:ser>
          <c:idx val="3"/>
          <c:order val="3"/>
          <c:tx>
            <c:v>Small Business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'Marketing Channel v. Customer'!$B$6:$B$13</c:f>
            </c:strRef>
          </c:cat>
          <c:val>
            <c:numRef>
              <c:f>'Marketing Channel v. Customer'!$F$6:$F$13</c:f>
              <c:numCache/>
            </c:numRef>
          </c:val>
        </c:ser>
        <c:axId val="2057947065"/>
        <c:axId val="804786434"/>
      </c:barChart>
      <c:catAx>
        <c:axId val="20579470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804786434"/>
      </c:catAx>
      <c:valAx>
        <c:axId val="8047864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205794706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'Marketing Channel v. Profit'!$B$3:$B$10</c:f>
            </c:strRef>
          </c:cat>
          <c:val>
            <c:numRef>
              <c:f>'Marketing Channel v. Profit'!$C$3:$C$10</c:f>
              <c:numCache/>
            </c:numRef>
          </c:val>
        </c:ser>
        <c:axId val="1704202554"/>
        <c:axId val="708682499"/>
      </c:barChart>
      <c:catAx>
        <c:axId val="17042025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708682499"/>
      </c:catAx>
      <c:valAx>
        <c:axId val="7086824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04202554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 Sales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'Marketing Channels v. Sales Per'!$B$3:$B$10</c:f>
            </c:strRef>
          </c:cat>
          <c:val>
            <c:numRef>
              <c:f>'Marketing Channels v. Sales Per'!$C$3:$C$10</c:f>
              <c:numCache/>
            </c:numRef>
          </c:val>
        </c:ser>
        <c:ser>
          <c:idx val="1"/>
          <c:order val="1"/>
          <c:tx>
            <c:v> Sales Target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'Marketing Channels v. Sales Per'!$B$3:$B$10</c:f>
            </c:strRef>
          </c:cat>
          <c:val>
            <c:numRef>
              <c:f>'Marketing Channels v. Sales Per'!$D$3:$D$10</c:f>
              <c:numCache/>
            </c:numRef>
          </c:val>
        </c:ser>
        <c:axId val="172917993"/>
        <c:axId val="112856673"/>
      </c:barChart>
      <c:catAx>
        <c:axId val="172917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12856673"/>
      </c:catAx>
      <c:valAx>
        <c:axId val="1128566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2917993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Sum of Sales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'Product Category'!$B$6:$B$9</c:f>
            </c:strRef>
          </c:cat>
          <c:val>
            <c:numRef>
              <c:f>'Product Category'!$C$6:$C$9</c:f>
              <c:numCache/>
            </c:numRef>
          </c:val>
        </c:ser>
        <c:ser>
          <c:idx val="1"/>
          <c:order val="1"/>
          <c:tx>
            <c:v>Sum of Sales Target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'Product Category'!$B$6:$B$9</c:f>
            </c:strRef>
          </c:cat>
          <c:val>
            <c:numRef>
              <c:f>'Product Category'!$D$6:$D$9</c:f>
              <c:numCache/>
            </c:numRef>
          </c:val>
        </c:ser>
        <c:axId val="1541556956"/>
        <c:axId val="1589105995"/>
      </c:barChart>
      <c:catAx>
        <c:axId val="15415569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589105995"/>
      </c:catAx>
      <c:valAx>
        <c:axId val="15891059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541556956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'Product Profit'!$C$3</c:f>
            </c:strRef>
          </c:tx>
          <c:dPt>
            <c:idx val="0"/>
            <c:spPr>
              <a:solidFill>
                <a:schemeClr val="accent6"/>
              </a:solidFill>
            </c:spPr>
          </c:dPt>
          <c:dPt>
            <c:idx val="1"/>
            <c:spPr>
              <a:solidFill>
                <a:schemeClr val="accent5"/>
              </a:solidFill>
            </c:spPr>
          </c:dPt>
          <c:dPt>
            <c:idx val="2"/>
            <c:spPr>
              <a:solidFill>
                <a:schemeClr val="accent4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'Product Profit'!$B$4:$B$7</c:f>
            </c:strRef>
          </c:cat>
          <c:val>
            <c:numRef>
              <c:f>'Product Profit'!$C$4:$C$7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9</xdr:row>
      <xdr:rowOff>180975</xdr:rowOff>
    </xdr:from>
    <xdr:ext cx="8477250" cy="3781425"/>
    <xdr:graphicFrame>
      <xdr:nvGraphicFramePr>
        <xdr:cNvPr id="88160870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0</xdr:row>
      <xdr:rowOff>171450</xdr:rowOff>
    </xdr:from>
    <xdr:ext cx="8162925" cy="485775"/>
    <xdr:sp>
      <xdr:nvSpPr>
        <xdr:cNvPr id="3" name="Shape 3"/>
        <xdr:cNvSpPr txBox="1"/>
      </xdr:nvSpPr>
      <xdr:spPr>
        <a:xfrm>
          <a:off x="1269300" y="3541875"/>
          <a:ext cx="8153400" cy="4762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2000"/>
            <a:buFont typeface="Calibri"/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Sales by Region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2000"/>
            <a:buFont typeface="Arial"/>
            <a:buNone/>
          </a:pPr>
          <a:r>
            <a:t/>
          </a:r>
          <a:endParaRPr sz="20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9525</xdr:rowOff>
    </xdr:from>
    <xdr:ext cx="9553575" cy="5067300"/>
    <xdr:graphicFrame>
      <xdr:nvGraphicFramePr>
        <xdr:cNvPr id="12203528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0</xdr:row>
      <xdr:rowOff>0</xdr:rowOff>
    </xdr:from>
    <xdr:ext cx="8362950" cy="476250"/>
    <xdr:sp>
      <xdr:nvSpPr>
        <xdr:cNvPr id="4" name="Shape 4"/>
        <xdr:cNvSpPr txBox="1"/>
      </xdr:nvSpPr>
      <xdr:spPr>
        <a:xfrm>
          <a:off x="1169288" y="3546638"/>
          <a:ext cx="8353425" cy="4667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2000"/>
            <a:buFont typeface="Calibri"/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Sales performance  by Month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2000"/>
            <a:buFont typeface="Arial"/>
            <a:buNone/>
          </a:pPr>
          <a:r>
            <a:t/>
          </a:r>
          <a:endParaRPr sz="20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866775</xdr:colOff>
      <xdr:row>15</xdr:row>
      <xdr:rowOff>47625</xdr:rowOff>
    </xdr:from>
    <xdr:ext cx="9439275" cy="4400550"/>
    <xdr:graphicFrame>
      <xdr:nvGraphicFramePr>
        <xdr:cNvPr id="199732320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0</xdr:row>
      <xdr:rowOff>95250</xdr:rowOff>
    </xdr:from>
    <xdr:ext cx="8391525" cy="476250"/>
    <xdr:sp>
      <xdr:nvSpPr>
        <xdr:cNvPr id="5" name="Shape 5"/>
        <xdr:cNvSpPr txBox="1"/>
      </xdr:nvSpPr>
      <xdr:spPr>
        <a:xfrm>
          <a:off x="1155000" y="3546638"/>
          <a:ext cx="8382000" cy="4667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2000"/>
            <a:buFont typeface="Calibri"/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Sales by State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2000"/>
            <a:buFont typeface="Arial"/>
            <a:buNone/>
          </a:pPr>
          <a:r>
            <a:t/>
          </a:r>
          <a:endParaRPr sz="20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152400</xdr:rowOff>
    </xdr:from>
    <xdr:ext cx="9305925" cy="438150"/>
    <xdr:sp>
      <xdr:nvSpPr>
        <xdr:cNvPr id="6" name="Shape 6"/>
        <xdr:cNvSpPr txBox="1"/>
      </xdr:nvSpPr>
      <xdr:spPr>
        <a:xfrm>
          <a:off x="697800" y="3565688"/>
          <a:ext cx="9296400" cy="4286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2000"/>
            <a:buFont typeface="Calibri"/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Profitability measures by City</a:t>
          </a:r>
          <a:endParaRPr sz="20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6</xdr:row>
      <xdr:rowOff>190500</xdr:rowOff>
    </xdr:from>
    <xdr:ext cx="6324600" cy="3714750"/>
    <xdr:graphicFrame>
      <xdr:nvGraphicFramePr>
        <xdr:cNvPr id="284652428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19050</xdr:colOff>
      <xdr:row>0</xdr:row>
      <xdr:rowOff>85725</xdr:rowOff>
    </xdr:from>
    <xdr:ext cx="6524625" cy="485775"/>
    <xdr:sp>
      <xdr:nvSpPr>
        <xdr:cNvPr id="7" name="Shape 7"/>
        <xdr:cNvSpPr txBox="1"/>
      </xdr:nvSpPr>
      <xdr:spPr>
        <a:xfrm>
          <a:off x="2088450" y="3541875"/>
          <a:ext cx="6515100" cy="4762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2000"/>
            <a:buFont typeface="Calibri"/>
            <a:buNone/>
          </a:pPr>
          <a:r>
            <a:rPr b="0"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Total sales vs. total profit by each Product category</a:t>
          </a:r>
          <a:endParaRPr b="0" sz="20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8</xdr:row>
      <xdr:rowOff>9525</xdr:rowOff>
    </xdr:from>
    <xdr:ext cx="10448925" cy="4019550"/>
    <xdr:graphicFrame>
      <xdr:nvGraphicFramePr>
        <xdr:cNvPr id="251367579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238125</xdr:colOff>
      <xdr:row>0</xdr:row>
      <xdr:rowOff>104775</xdr:rowOff>
    </xdr:from>
    <xdr:ext cx="6019800" cy="561975"/>
    <xdr:sp>
      <xdr:nvSpPr>
        <xdr:cNvPr id="8" name="Shape 8"/>
        <xdr:cNvSpPr txBox="1"/>
      </xdr:nvSpPr>
      <xdr:spPr>
        <a:xfrm>
          <a:off x="2340863" y="3503775"/>
          <a:ext cx="6010275" cy="5524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2000"/>
            <a:buFont typeface="Calibri"/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Shipping cost by Ship mode across Regions</a:t>
          </a:r>
          <a:endParaRPr sz="20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4</xdr:row>
      <xdr:rowOff>0</xdr:rowOff>
    </xdr:from>
    <xdr:ext cx="7296150" cy="4514850"/>
    <xdr:graphicFrame>
      <xdr:nvGraphicFramePr>
        <xdr:cNvPr id="857331389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66675</xdr:colOff>
      <xdr:row>0</xdr:row>
      <xdr:rowOff>85725</xdr:rowOff>
    </xdr:from>
    <xdr:ext cx="8286750" cy="381000"/>
    <xdr:sp>
      <xdr:nvSpPr>
        <xdr:cNvPr id="9" name="Shape 9"/>
        <xdr:cNvSpPr txBox="1"/>
      </xdr:nvSpPr>
      <xdr:spPr>
        <a:xfrm>
          <a:off x="1207388" y="3594263"/>
          <a:ext cx="8277225" cy="3714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2000"/>
            <a:buFont typeface="Calibri"/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Shipping Cost by each delivery mode across each region.</a:t>
          </a:r>
          <a:endParaRPr sz="20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13</xdr:row>
      <xdr:rowOff>95250</xdr:rowOff>
    </xdr:from>
    <xdr:ext cx="9944100" cy="3552825"/>
    <xdr:graphicFrame>
      <xdr:nvGraphicFramePr>
        <xdr:cNvPr id="1774620705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9525</xdr:colOff>
      <xdr:row>1</xdr:row>
      <xdr:rowOff>0</xdr:rowOff>
    </xdr:from>
    <xdr:ext cx="7934325" cy="571500"/>
    <xdr:sp>
      <xdr:nvSpPr>
        <xdr:cNvPr id="10" name="Shape 10"/>
        <xdr:cNvSpPr txBox="1"/>
      </xdr:nvSpPr>
      <xdr:spPr>
        <a:xfrm>
          <a:off x="1383600" y="3499013"/>
          <a:ext cx="7924800" cy="5619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2000"/>
            <a:buFont typeface="Calibri"/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How efficient was the marketing channels by each customer segment</a:t>
          </a:r>
          <a:endParaRPr sz="20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10</xdr:row>
      <xdr:rowOff>123825</xdr:rowOff>
    </xdr:from>
    <xdr:ext cx="7620000" cy="3800475"/>
    <xdr:graphicFrame>
      <xdr:nvGraphicFramePr>
        <xdr:cNvPr id="8587908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85725</xdr:colOff>
      <xdr:row>0</xdr:row>
      <xdr:rowOff>114300</xdr:rowOff>
    </xdr:from>
    <xdr:ext cx="6896100" cy="466725"/>
    <xdr:sp>
      <xdr:nvSpPr>
        <xdr:cNvPr id="11" name="Shape 11"/>
        <xdr:cNvSpPr txBox="1"/>
      </xdr:nvSpPr>
      <xdr:spPr>
        <a:xfrm>
          <a:off x="1902713" y="3551400"/>
          <a:ext cx="6886575" cy="4572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2000"/>
            <a:buFont typeface="Calibri"/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Total profit by Marketing Channel</a:t>
          </a:r>
          <a:endParaRPr sz="20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10</xdr:row>
      <xdr:rowOff>180975</xdr:rowOff>
    </xdr:from>
    <xdr:ext cx="8543925" cy="3600450"/>
    <xdr:graphicFrame>
      <xdr:nvGraphicFramePr>
        <xdr:cNvPr id="1293979594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28575</xdr:colOff>
      <xdr:row>0</xdr:row>
      <xdr:rowOff>123825</xdr:rowOff>
    </xdr:from>
    <xdr:ext cx="7562850" cy="390525"/>
    <xdr:sp>
      <xdr:nvSpPr>
        <xdr:cNvPr id="12" name="Shape 12"/>
        <xdr:cNvSpPr txBox="1"/>
      </xdr:nvSpPr>
      <xdr:spPr>
        <a:xfrm>
          <a:off x="1569338" y="3589500"/>
          <a:ext cx="7553325" cy="3810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2000"/>
            <a:buFont typeface="Calibri"/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Sales performance by each marketing channel filtered by region(s).</a:t>
          </a:r>
          <a:endParaRPr sz="20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10</xdr:row>
      <xdr:rowOff>0</xdr:rowOff>
    </xdr:from>
    <xdr:ext cx="6296025" cy="3819525"/>
    <xdr:graphicFrame>
      <xdr:nvGraphicFramePr>
        <xdr:cNvPr id="606457688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152400</xdr:colOff>
      <xdr:row>0</xdr:row>
      <xdr:rowOff>57150</xdr:rowOff>
    </xdr:from>
    <xdr:ext cx="9029700" cy="771525"/>
    <xdr:sp>
      <xdr:nvSpPr>
        <xdr:cNvPr id="13" name="Shape 13"/>
        <xdr:cNvSpPr txBox="1"/>
      </xdr:nvSpPr>
      <xdr:spPr>
        <a:xfrm>
          <a:off x="835913" y="3399000"/>
          <a:ext cx="9020175" cy="7620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2400"/>
            <a:buFont typeface="Calibri"/>
            <a:buNone/>
          </a:pPr>
          <a:r>
            <a:rPr lang="en-US" sz="2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Sales performance among product categories, filtered by Region(s).</a:t>
          </a:r>
          <a:endParaRPr sz="2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8</xdr:row>
      <xdr:rowOff>104775</xdr:rowOff>
    </xdr:from>
    <xdr:ext cx="5210175" cy="3819525"/>
    <xdr:graphicFrame>
      <xdr:nvGraphicFramePr>
        <xdr:cNvPr id="1333891955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28575</xdr:colOff>
      <xdr:row>0</xdr:row>
      <xdr:rowOff>28575</xdr:rowOff>
    </xdr:from>
    <xdr:ext cx="6419850" cy="676275"/>
    <xdr:sp>
      <xdr:nvSpPr>
        <xdr:cNvPr id="14" name="Shape 14"/>
        <xdr:cNvSpPr txBox="1"/>
      </xdr:nvSpPr>
      <xdr:spPr>
        <a:xfrm>
          <a:off x="2140838" y="3446625"/>
          <a:ext cx="6410325" cy="6667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2000"/>
            <a:buFont typeface="Calibri"/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Profit by each product category filtered by Region(s).</a:t>
          </a:r>
          <a:endParaRPr sz="20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ref="B4:E9" displayName="Table1" name="Table1" id="1">
  <autoFilter ref="$B$4:$E$9">
    <filterColumn colId="0">
      <filters>
        <filter val="Qtr3"/>
        <filter val="Qtr4"/>
        <filter val="Qtr1"/>
        <filter val="Qtr2"/>
      </filters>
    </filterColumn>
  </autoFilter>
  <tableColumns count="4">
    <tableColumn name="Period" id="1"/>
    <tableColumn name="Sales Target" id="2"/>
    <tableColumn name=" Sales" id="3"/>
    <tableColumn name="Column 1" id="4"/>
  </tableColumns>
  <tableStyleInfo name="Sales by Qt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 fitToPage="1"/>
  </sheetPr>
  <sheetViews>
    <sheetView showGridLines="0" workbookViewId="0"/>
  </sheetViews>
  <sheetFormatPr customHeight="1" defaultColWidth="11.22" defaultRowHeight="15.0"/>
  <cols>
    <col customWidth="1" min="1" max="1" width="10.89"/>
    <col customWidth="1" min="2" max="2" width="16.0"/>
    <col customWidth="1" min="3" max="3" width="21.89"/>
    <col customWidth="1" min="4" max="4" width="12.44"/>
    <col customWidth="1" min="5" max="5" width="10.89"/>
    <col customWidth="1" min="6" max="6" width="16.0"/>
    <col customWidth="1" min="7" max="7" width="15.0"/>
    <col customWidth="1" min="8" max="8" width="20.33"/>
    <col customWidth="1" min="9" max="9" width="11.56"/>
    <col customWidth="1" min="10" max="10" width="12.44"/>
    <col customWidth="1" min="11" max="26" width="8.56"/>
  </cols>
  <sheetData>
    <row r="1" ht="27.0" customHeight="1">
      <c r="A1" s="1"/>
      <c r="B1" s="2" t="s">
        <v>0</v>
      </c>
      <c r="C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3" t="s">
        <v>1</v>
      </c>
      <c r="C4" s="4" t="s">
        <v>2</v>
      </c>
      <c r="D4" s="4" t="s">
        <v>3</v>
      </c>
      <c r="E4" s="5" t="s">
        <v>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6" t="s">
        <v>5</v>
      </c>
      <c r="C5" s="7">
        <v>3760457.9897</v>
      </c>
      <c r="D5" s="7">
        <v>3837693.9975</v>
      </c>
      <c r="E5" s="8">
        <f t="shared" ref="E5:E8" si="1">D5/C5</f>
        <v>1.02053899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9" t="s">
        <v>6</v>
      </c>
      <c r="C6" s="10">
        <v>3196487.6625</v>
      </c>
      <c r="D6" s="10">
        <v>3331327.9245</v>
      </c>
      <c r="E6" s="11">
        <f t="shared" si="1"/>
        <v>1.042183883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B7" s="6" t="s">
        <v>7</v>
      </c>
      <c r="C7" s="7">
        <v>3581312.8577</v>
      </c>
      <c r="D7" s="7">
        <v>3527374.4905</v>
      </c>
      <c r="E7" s="8">
        <f t="shared" si="1"/>
        <v>0.9849389402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B8" s="9" t="s">
        <v>8</v>
      </c>
      <c r="C8" s="10">
        <v>4091790.825</v>
      </c>
      <c r="D8" s="10">
        <v>3962665.783</v>
      </c>
      <c r="E8" s="11">
        <f t="shared" si="1"/>
        <v>0.9684429025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hidden="1" customHeight="1">
      <c r="B9" s="12" t="s">
        <v>9</v>
      </c>
      <c r="C9" s="13">
        <v>1.46300493349E7</v>
      </c>
      <c r="D9" s="13">
        <v>1.46590621955E7</v>
      </c>
      <c r="E9" s="1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G13" s="1"/>
      <c r="H13" s="1"/>
      <c r="I13" s="1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>
    <dataValidation type="custom" allowBlank="1" showDropDown="1" sqref="C5:D8">
      <formula1>AND(ISNUMBER(C5),(NOT(OR(NOT(ISERROR(DATEVALUE(C5))), AND(ISNUMBER(C5), LEFT(CELL("format", C5))="D")))))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14.56"/>
    <col customWidth="1" min="3" max="3" width="15.0"/>
    <col customWidth="1" min="4" max="26" width="8.56"/>
  </cols>
  <sheetData>
    <row r="1" ht="51.0" customHeight="1"/>
    <row r="3">
      <c r="B3" s="16" t="s">
        <v>10</v>
      </c>
      <c r="C3" s="17" t="s">
        <v>11</v>
      </c>
    </row>
    <row r="4">
      <c r="B4" s="18" t="s">
        <v>12</v>
      </c>
      <c r="C4" s="19">
        <v>3380170.2315</v>
      </c>
    </row>
    <row r="5">
      <c r="B5" s="18" t="s">
        <v>13</v>
      </c>
      <c r="C5" s="19">
        <v>2981803.8485</v>
      </c>
    </row>
    <row r="6">
      <c r="B6" s="18" t="s">
        <v>14</v>
      </c>
      <c r="C6" s="19">
        <v>2577586.16</v>
      </c>
    </row>
    <row r="7">
      <c r="B7" s="18" t="s">
        <v>15</v>
      </c>
      <c r="C7" s="19">
        <v>2203313.6245</v>
      </c>
    </row>
    <row r="8">
      <c r="B8" s="18" t="s">
        <v>16</v>
      </c>
      <c r="C8" s="19">
        <v>1426835.137</v>
      </c>
    </row>
    <row r="9">
      <c r="B9" s="18" t="s">
        <v>17</v>
      </c>
      <c r="C9" s="19">
        <v>1153849.872</v>
      </c>
    </row>
    <row r="10">
      <c r="B10" s="18" t="s">
        <v>18</v>
      </c>
      <c r="C10" s="19">
        <v>616311.5295</v>
      </c>
    </row>
    <row r="11">
      <c r="B11" s="18" t="s">
        <v>19</v>
      </c>
      <c r="C11" s="19">
        <v>319191.7925</v>
      </c>
    </row>
    <row r="12">
      <c r="B12" s="18" t="s">
        <v>9</v>
      </c>
      <c r="C12" s="19">
        <v>1.46590621955E7</v>
      </c>
    </row>
    <row r="14">
      <c r="B14" s="20"/>
      <c r="C14" s="20"/>
    </row>
    <row r="15">
      <c r="B15" s="21">
        <v>3380170.2315</v>
      </c>
      <c r="C15" s="22">
        <f t="shared" ref="C15:C22" si="1">B15/SUM($B$15:$B$22)</f>
        <v>0.2305857078</v>
      </c>
    </row>
    <row r="16">
      <c r="B16" s="21">
        <v>2981803.8485</v>
      </c>
      <c r="C16" s="22">
        <f t="shared" si="1"/>
        <v>0.2034102734</v>
      </c>
    </row>
    <row r="17">
      <c r="B17" s="21">
        <v>2577586.16</v>
      </c>
      <c r="C17" s="22">
        <f t="shared" si="1"/>
        <v>0.1758356794</v>
      </c>
    </row>
    <row r="18">
      <c r="B18" s="21">
        <v>2203313.6245</v>
      </c>
      <c r="C18" s="22">
        <f t="shared" si="1"/>
        <v>0.1503038595</v>
      </c>
    </row>
    <row r="19">
      <c r="B19" s="21">
        <v>1426835.137</v>
      </c>
      <c r="C19" s="22">
        <f t="shared" si="1"/>
        <v>0.09733468062</v>
      </c>
    </row>
    <row r="20">
      <c r="B20" s="21">
        <v>1153849.872</v>
      </c>
      <c r="C20" s="22">
        <f t="shared" si="1"/>
        <v>0.07871239351</v>
      </c>
    </row>
    <row r="21" ht="15.75" customHeight="1">
      <c r="B21" s="21">
        <v>616311.5295</v>
      </c>
      <c r="C21" s="22">
        <f t="shared" si="1"/>
        <v>0.0420430394</v>
      </c>
    </row>
    <row r="22" ht="15.75" customHeight="1">
      <c r="B22" s="21">
        <v>319191.7925</v>
      </c>
      <c r="C22" s="22">
        <f t="shared" si="1"/>
        <v>0.02177436648</v>
      </c>
    </row>
    <row r="23" ht="15.75" customHeight="1">
      <c r="B23" s="21">
        <f t="shared" ref="B23:C23" si="2">SUM(B15:B22)</f>
        <v>14659062.2</v>
      </c>
      <c r="C23" s="22">
        <f t="shared" si="2"/>
        <v>1</v>
      </c>
    </row>
    <row r="24" ht="15.75" customHeight="1">
      <c r="B24" s="20"/>
      <c r="C24" s="20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workbookViewId="0"/>
  </sheetViews>
  <sheetFormatPr customHeight="1" defaultColWidth="11.22" defaultRowHeight="15.0"/>
  <cols>
    <col customWidth="1" min="1" max="1" width="6.11"/>
    <col customWidth="1" min="2" max="2" width="16.0"/>
    <col customWidth="1" min="3" max="3" width="16.11"/>
    <col customWidth="1" min="4" max="4" width="17.11"/>
    <col customWidth="1" min="5" max="5" width="10.89"/>
    <col customWidth="1" min="6" max="6" width="16.0"/>
    <col customWidth="1" min="7" max="7" width="15.0"/>
    <col customWidth="1" min="8" max="8" width="20.33"/>
    <col customWidth="1" min="9" max="9" width="11.56"/>
    <col customWidth="1" min="10" max="10" width="12.44"/>
    <col customWidth="1" min="11" max="26" width="8.56"/>
  </cols>
  <sheetData>
    <row r="1" ht="63.0" customHeight="1">
      <c r="A1" s="1"/>
      <c r="B1" s="1"/>
      <c r="C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 t="s">
        <v>1</v>
      </c>
      <c r="C2" s="1" t="s">
        <v>2</v>
      </c>
      <c r="D2" s="1" t="s">
        <v>20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23" t="s">
        <v>5</v>
      </c>
      <c r="C3" s="1"/>
      <c r="D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23" t="s">
        <v>21</v>
      </c>
      <c r="C4" s="24">
        <v>1428240.8294</v>
      </c>
      <c r="D4" s="24">
        <v>1390859.174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23" t="s">
        <v>22</v>
      </c>
      <c r="C5" s="24">
        <v>1015890.6676</v>
      </c>
      <c r="D5" s="24">
        <v>1163270.335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23" t="s">
        <v>23</v>
      </c>
      <c r="C6" s="24">
        <v>1316326.4927</v>
      </c>
      <c r="D6" s="24">
        <v>1283564.4885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3" t="s">
        <v>6</v>
      </c>
      <c r="C7" s="24"/>
      <c r="D7" s="2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23" t="s">
        <v>24</v>
      </c>
      <c r="C8" s="24">
        <v>1047494.4716</v>
      </c>
      <c r="D8" s="24">
        <v>1147771.334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23" t="s">
        <v>25</v>
      </c>
      <c r="C9" s="24">
        <v>1118403.6033</v>
      </c>
      <c r="D9" s="24">
        <v>1168209.1555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23" t="s">
        <v>26</v>
      </c>
      <c r="C10" s="24">
        <v>1030589.5876</v>
      </c>
      <c r="D10" s="24">
        <v>1015347.435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23" t="s">
        <v>7</v>
      </c>
      <c r="C11" s="24"/>
      <c r="D11" s="2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23" t="s">
        <v>27</v>
      </c>
      <c r="C12" s="24">
        <v>1230049.2079</v>
      </c>
      <c r="D12" s="24">
        <v>1114256.7525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23" t="s">
        <v>28</v>
      </c>
      <c r="C13" s="24">
        <v>1061142.1792</v>
      </c>
      <c r="D13" s="24">
        <v>1109020.532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23" t="s">
        <v>29</v>
      </c>
      <c r="C14" s="24">
        <v>1290121.4706</v>
      </c>
      <c r="D14" s="24">
        <v>1304097.206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23" t="s">
        <v>8</v>
      </c>
      <c r="C15" s="24"/>
      <c r="D15" s="2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23" t="s">
        <v>30</v>
      </c>
      <c r="C16" s="24">
        <v>1320866.0317</v>
      </c>
      <c r="D16" s="24">
        <v>1367172.986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23" t="s">
        <v>31</v>
      </c>
      <c r="C17" s="24">
        <v>1265764.2239</v>
      </c>
      <c r="D17" s="24">
        <v>1153443.3495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23" t="s">
        <v>32</v>
      </c>
      <c r="C18" s="24">
        <v>1505160.5694</v>
      </c>
      <c r="D18" s="24">
        <v>1442049.4475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hidden="1" customHeight="1">
      <c r="B19" s="23" t="s">
        <v>9</v>
      </c>
      <c r="C19" s="24">
        <v>1.46300493349E7</v>
      </c>
      <c r="D19" s="24">
        <v>1.46590621955E7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B$2:$D$19">
    <filterColumn colId="0">
      <filters>
        <filter val="Jul"/>
        <filter val="Oct"/>
        <filter val="Feb"/>
        <filter val="Apr"/>
        <filter val="Jun"/>
        <filter val="Qtr3"/>
        <filter val="Qtr4"/>
        <filter val="Dec"/>
        <filter val="Qtr1"/>
        <filter val="May"/>
        <filter val="Qtr2"/>
        <filter val="Aug"/>
        <filter val="Nov"/>
        <filter val="Jan"/>
        <filter val="Mar"/>
        <filter val="Sep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workbookViewId="0"/>
  </sheetViews>
  <sheetFormatPr customHeight="1" defaultColWidth="11.22" defaultRowHeight="15.0"/>
  <cols>
    <col customWidth="1" min="1" max="2" width="11.44"/>
    <col customWidth="1" min="3" max="6" width="11.56"/>
    <col customWidth="1" min="7" max="7" width="14.33"/>
    <col customWidth="1" min="8" max="9" width="11.56"/>
    <col customWidth="1" min="10" max="10" width="12.44"/>
    <col customWidth="1" min="11" max="26" width="8.56"/>
  </cols>
  <sheetData>
    <row r="1" ht="57.75" customHeight="1"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B2" s="1" t="s">
        <v>33</v>
      </c>
      <c r="C2" s="1" t="s">
        <v>34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23" t="s">
        <v>35</v>
      </c>
      <c r="C3" s="25">
        <v>407396.381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23" t="s">
        <v>36</v>
      </c>
      <c r="C4" s="25">
        <v>393305.7355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23" t="s">
        <v>37</v>
      </c>
      <c r="C5" s="25">
        <v>385506.6385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23" t="s">
        <v>38</v>
      </c>
      <c r="C6" s="25">
        <v>379056.7755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3" t="s">
        <v>39</v>
      </c>
      <c r="C7" s="25">
        <v>373175.2525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23" t="s">
        <v>40</v>
      </c>
      <c r="C8" s="25">
        <v>363481.5645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23" t="s">
        <v>41</v>
      </c>
      <c r="C9" s="25">
        <v>354152.5445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23" t="s">
        <v>42</v>
      </c>
      <c r="C10" s="25">
        <v>353454.1125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23" t="s">
        <v>43</v>
      </c>
      <c r="C11" s="25">
        <v>337372.5415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23" t="s">
        <v>44</v>
      </c>
      <c r="C12" s="25">
        <v>334175.983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23" t="s">
        <v>9</v>
      </c>
      <c r="C13" s="25">
        <v>3681077.529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1.22" defaultRowHeight="15.0"/>
  <cols>
    <col customWidth="1" min="1" max="1" width="8.89"/>
    <col customWidth="1" min="2" max="2" width="16.67"/>
    <col customWidth="1" min="3" max="3" width="11.11"/>
    <col customWidth="1" min="4" max="4" width="11.44"/>
    <col customWidth="1" min="5" max="5" width="12.89"/>
    <col customWidth="1" hidden="1" min="6" max="6" width="17.78"/>
    <col customWidth="1" min="7" max="7" width="19.44"/>
    <col customWidth="1" min="8" max="8" width="8.89"/>
    <col customWidth="1" min="9" max="26" width="8.56"/>
  </cols>
  <sheetData>
    <row r="1" ht="66.75" customHeight="1">
      <c r="A1" s="1"/>
      <c r="B1" s="1"/>
      <c r="C1" s="26"/>
      <c r="D1" s="26"/>
      <c r="E1" s="1"/>
      <c r="F1" s="2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28" t="s">
        <v>45</v>
      </c>
      <c r="C2" s="29" t="s">
        <v>11</v>
      </c>
      <c r="D2" s="29" t="s">
        <v>46</v>
      </c>
      <c r="E2" s="28" t="s">
        <v>47</v>
      </c>
      <c r="F2" s="30" t="s">
        <v>48</v>
      </c>
      <c r="G2" s="31" t="s">
        <v>49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23" t="s">
        <v>50</v>
      </c>
      <c r="C3" s="32">
        <v>2455.54</v>
      </c>
      <c r="D3" s="26">
        <v>1361.88</v>
      </c>
      <c r="E3" s="33">
        <v>0.5546152781058342</v>
      </c>
      <c r="F3" s="27">
        <v>0.05</v>
      </c>
      <c r="G3" s="34">
        <v>1.0</v>
      </c>
      <c r="H3" s="35">
        <f t="array" ref="H3:H10">D3:D10/C3:C10</f>
        <v>0.5546152781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23" t="s">
        <v>51</v>
      </c>
      <c r="C4" s="32">
        <v>299.07</v>
      </c>
      <c r="D4" s="26">
        <v>137.47</v>
      </c>
      <c r="E4" s="33">
        <v>0.45965827398267967</v>
      </c>
      <c r="F4" s="27">
        <v>0.05</v>
      </c>
      <c r="G4" s="34">
        <v>1.0</v>
      </c>
      <c r="H4" s="35">
        <v>0.45965827398267967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23" t="s">
        <v>52</v>
      </c>
      <c r="C5" s="32">
        <v>18854.67</v>
      </c>
      <c r="D5" s="26">
        <v>8552.41</v>
      </c>
      <c r="E5" s="33">
        <v>0.45359637691882176</v>
      </c>
      <c r="F5" s="27">
        <v>0.05</v>
      </c>
      <c r="G5" s="34">
        <v>1.0</v>
      </c>
      <c r="H5" s="35">
        <v>0.45359637691882176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23" t="s">
        <v>53</v>
      </c>
      <c r="C6" s="32">
        <v>18775.76</v>
      </c>
      <c r="D6" s="26">
        <v>8504.47</v>
      </c>
      <c r="E6" s="33">
        <v>0.45294944119439107</v>
      </c>
      <c r="F6" s="27">
        <v>0.05</v>
      </c>
      <c r="G6" s="34">
        <v>1.0</v>
      </c>
      <c r="H6" s="35">
        <v>0.45294944119439107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3" t="s">
        <v>54</v>
      </c>
      <c r="C7" s="32">
        <v>852.75</v>
      </c>
      <c r="D7" s="26">
        <v>358.734</v>
      </c>
      <c r="E7" s="33">
        <v>0.420678979771328</v>
      </c>
      <c r="F7" s="27">
        <v>0.05</v>
      </c>
      <c r="G7" s="34">
        <v>1.0</v>
      </c>
      <c r="H7" s="35">
        <v>0.420678979771328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23" t="s">
        <v>55</v>
      </c>
      <c r="C8" s="32">
        <v>1631.04</v>
      </c>
      <c r="D8" s="26">
        <v>665.63</v>
      </c>
      <c r="E8" s="33">
        <v>0.4081015793604081</v>
      </c>
      <c r="F8" s="27">
        <v>0.05</v>
      </c>
      <c r="G8" s="34">
        <v>1.0</v>
      </c>
      <c r="H8" s="35">
        <v>0.4081015793604081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23" t="s">
        <v>56</v>
      </c>
      <c r="C9" s="32">
        <v>20108.37</v>
      </c>
      <c r="D9" s="26">
        <v>7794.486</v>
      </c>
      <c r="E9" s="33">
        <v>0.38762395957504264</v>
      </c>
      <c r="F9" s="27">
        <v>0.05</v>
      </c>
      <c r="G9" s="34">
        <v>1.0</v>
      </c>
      <c r="H9" s="35">
        <v>0.38762395957504264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23" t="s">
        <v>57</v>
      </c>
      <c r="C10" s="32">
        <v>10414.44</v>
      </c>
      <c r="D10" s="26">
        <v>3746.9525</v>
      </c>
      <c r="E10" s="33">
        <v>0.359784347502122</v>
      </c>
      <c r="F10" s="27">
        <v>0.05</v>
      </c>
      <c r="G10" s="34">
        <v>1.0</v>
      </c>
      <c r="H10" s="35">
        <v>0.359784347502122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23" t="s">
        <v>58</v>
      </c>
      <c r="C11" s="32">
        <v>5109.65</v>
      </c>
      <c r="D11" s="26">
        <v>1831.73</v>
      </c>
      <c r="E11" s="33">
        <v>0.3584844363116848</v>
      </c>
      <c r="F11" s="27">
        <v>0.05</v>
      </c>
      <c r="G11" s="34">
        <v>1.0</v>
      </c>
      <c r="H11" s="3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23" t="s">
        <v>59</v>
      </c>
      <c r="C12" s="32">
        <v>11073.3095</v>
      </c>
      <c r="D12" s="26">
        <v>3624.205</v>
      </c>
      <c r="E12" s="33">
        <v>0.3272919446530416</v>
      </c>
      <c r="F12" s="27">
        <v>0.05</v>
      </c>
      <c r="G12" s="34">
        <v>1.0</v>
      </c>
      <c r="H12" s="3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23" t="s">
        <v>60</v>
      </c>
      <c r="C13" s="32">
        <v>22425.777</v>
      </c>
      <c r="D13" s="26">
        <v>7335.2965</v>
      </c>
      <c r="E13" s="33">
        <v>0.3270921894924756</v>
      </c>
      <c r="F13" s="27">
        <v>0.05</v>
      </c>
      <c r="G13" s="34">
        <v>1.0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23" t="s">
        <v>61</v>
      </c>
      <c r="C14" s="32">
        <v>40490.86</v>
      </c>
      <c r="D14" s="26">
        <v>13105.3065</v>
      </c>
      <c r="E14" s="33">
        <v>0.3236608582776459</v>
      </c>
      <c r="F14" s="27">
        <v>0.05</v>
      </c>
      <c r="G14" s="34">
        <v>1.0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23" t="s">
        <v>62</v>
      </c>
      <c r="C15" s="32">
        <v>2292.26</v>
      </c>
      <c r="D15" s="26">
        <v>722.89</v>
      </c>
      <c r="E15" s="33">
        <v>0.31536125919398317</v>
      </c>
      <c r="F15" s="27">
        <v>0.05</v>
      </c>
      <c r="G15" s="34">
        <v>1.0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23" t="s">
        <v>63</v>
      </c>
      <c r="C16" s="32">
        <v>9613.546</v>
      </c>
      <c r="D16" s="26">
        <v>2976.2713</v>
      </c>
      <c r="E16" s="33">
        <v>0.3095914140318255</v>
      </c>
      <c r="F16" s="27">
        <v>0.05</v>
      </c>
      <c r="G16" s="34">
        <v>1.0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23" t="s">
        <v>64</v>
      </c>
      <c r="C17" s="32">
        <v>47249.487</v>
      </c>
      <c r="D17" s="26">
        <v>14421.5485</v>
      </c>
      <c r="E17" s="33">
        <v>0.30522127150290546</v>
      </c>
      <c r="F17" s="27">
        <v>0.05</v>
      </c>
      <c r="G17" s="34">
        <v>1.0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23" t="s">
        <v>65</v>
      </c>
      <c r="C18" s="32">
        <v>1401.75</v>
      </c>
      <c r="D18" s="26">
        <v>426.44</v>
      </c>
      <c r="E18" s="33">
        <v>0.30421972534332087</v>
      </c>
      <c r="F18" s="27">
        <v>0.05</v>
      </c>
      <c r="G18" s="34">
        <v>1.0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23" t="s">
        <v>66</v>
      </c>
      <c r="C19" s="32">
        <v>117.27</v>
      </c>
      <c r="D19" s="26">
        <v>35.45</v>
      </c>
      <c r="E19" s="33">
        <v>0.302293851795003</v>
      </c>
      <c r="F19" s="27">
        <v>0.05</v>
      </c>
      <c r="G19" s="34">
        <v>1.0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23" t="s">
        <v>67</v>
      </c>
      <c r="C20" s="32">
        <v>25012.92</v>
      </c>
      <c r="D20" s="26">
        <v>7526.3395</v>
      </c>
      <c r="E20" s="33">
        <v>0.30089807587438816</v>
      </c>
      <c r="F20" s="27">
        <v>0.05</v>
      </c>
      <c r="G20" s="34">
        <v>1.0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3" t="s">
        <v>68</v>
      </c>
      <c r="C21" s="32">
        <v>30466.6725</v>
      </c>
      <c r="D21" s="26">
        <v>9094.8585</v>
      </c>
      <c r="E21" s="33">
        <v>0.2985182743537221</v>
      </c>
      <c r="F21" s="27">
        <v>0.05</v>
      </c>
      <c r="G21" s="34">
        <v>1.0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3" t="s">
        <v>69</v>
      </c>
      <c r="C22" s="32">
        <v>24089.961</v>
      </c>
      <c r="D22" s="26">
        <v>7174.6165</v>
      </c>
      <c r="E22" s="33">
        <v>0.29782599066889315</v>
      </c>
      <c r="F22" s="27">
        <v>0.05</v>
      </c>
      <c r="G22" s="34">
        <v>1.0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3" t="s">
        <v>70</v>
      </c>
      <c r="C23" s="32">
        <v>1146.11</v>
      </c>
      <c r="D23" s="26">
        <v>330.63</v>
      </c>
      <c r="E23" s="33">
        <v>0.28848016333510745</v>
      </c>
      <c r="F23" s="27">
        <v>0.05</v>
      </c>
      <c r="G23" s="34">
        <v>1.0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3" t="s">
        <v>71</v>
      </c>
      <c r="C24" s="32">
        <v>82085.8515</v>
      </c>
      <c r="D24" s="26">
        <v>23411.9065</v>
      </c>
      <c r="E24" s="33">
        <v>0.28521244614243907</v>
      </c>
      <c r="F24" s="27">
        <v>0.05</v>
      </c>
      <c r="G24" s="34">
        <v>1.0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3" t="s">
        <v>72</v>
      </c>
      <c r="C25" s="32">
        <v>35677.02</v>
      </c>
      <c r="D25" s="26">
        <v>10169.8</v>
      </c>
      <c r="E25" s="33">
        <v>0.28505183448617627</v>
      </c>
      <c r="F25" s="27">
        <v>0.05</v>
      </c>
      <c r="G25" s="34">
        <v>1.0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3" t="s">
        <v>73</v>
      </c>
      <c r="C26" s="32">
        <v>24758.372</v>
      </c>
      <c r="D26" s="26">
        <v>6983.003</v>
      </c>
      <c r="E26" s="33">
        <v>0.2820461296889795</v>
      </c>
      <c r="F26" s="27">
        <v>0.05</v>
      </c>
      <c r="G26" s="34">
        <v>1.0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3" t="s">
        <v>74</v>
      </c>
      <c r="C27" s="32">
        <v>40585.33</v>
      </c>
      <c r="D27" s="26">
        <v>11344.627</v>
      </c>
      <c r="E27" s="33">
        <v>0.2795253112393074</v>
      </c>
      <c r="F27" s="27">
        <v>0.05</v>
      </c>
      <c r="G27" s="34">
        <v>1.0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3" t="s">
        <v>75</v>
      </c>
      <c r="C28" s="32">
        <v>3917.27</v>
      </c>
      <c r="D28" s="26">
        <v>1093.22</v>
      </c>
      <c r="E28" s="33">
        <v>0.27907701026480175</v>
      </c>
      <c r="F28" s="27">
        <v>0.05</v>
      </c>
      <c r="G28" s="34">
        <v>1.0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3" t="s">
        <v>76</v>
      </c>
      <c r="C29" s="32">
        <v>120152.393</v>
      </c>
      <c r="D29" s="26">
        <v>33489.532</v>
      </c>
      <c r="E29" s="33">
        <v>0.2787254682476445</v>
      </c>
      <c r="F29" s="27">
        <v>0.05</v>
      </c>
      <c r="G29" s="34">
        <v>1.0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3" t="s">
        <v>77</v>
      </c>
      <c r="C30" s="32">
        <v>55661.7595</v>
      </c>
      <c r="D30" s="26">
        <v>15473.8355</v>
      </c>
      <c r="E30" s="33">
        <v>0.277997599051823</v>
      </c>
      <c r="F30" s="27">
        <v>0.05</v>
      </c>
      <c r="G30" s="34">
        <v>1.0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3" t="s">
        <v>78</v>
      </c>
      <c r="C31" s="32">
        <v>11412.5645</v>
      </c>
      <c r="D31" s="26">
        <v>3132.276</v>
      </c>
      <c r="E31" s="33">
        <v>0.2744585583722221</v>
      </c>
      <c r="F31" s="27">
        <v>0.05</v>
      </c>
      <c r="G31" s="34">
        <v>1.0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3" t="s">
        <v>79</v>
      </c>
      <c r="C32" s="32">
        <v>45543.387</v>
      </c>
      <c r="D32" s="26">
        <v>12456.697</v>
      </c>
      <c r="E32" s="33">
        <v>0.27351274950192</v>
      </c>
      <c r="F32" s="27">
        <v>0.05</v>
      </c>
      <c r="G32" s="34">
        <v>1.0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3" t="s">
        <v>80</v>
      </c>
      <c r="C33" s="32">
        <v>1419.83</v>
      </c>
      <c r="D33" s="26">
        <v>385.8</v>
      </c>
      <c r="E33" s="33">
        <v>0.27172267102399583</v>
      </c>
      <c r="F33" s="27">
        <v>0.05</v>
      </c>
      <c r="G33" s="34">
        <v>1.0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3" t="s">
        <v>81</v>
      </c>
      <c r="C34" s="32">
        <v>16037.08</v>
      </c>
      <c r="D34" s="26">
        <v>4355.88</v>
      </c>
      <c r="E34" s="33">
        <v>0.2716130367872456</v>
      </c>
      <c r="F34" s="27">
        <v>0.05</v>
      </c>
      <c r="G34" s="34">
        <v>1.0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3" t="s">
        <v>82</v>
      </c>
      <c r="C35" s="32">
        <v>3442.22</v>
      </c>
      <c r="D35" s="26">
        <v>934.54</v>
      </c>
      <c r="E35" s="33">
        <v>0.2714933967032903</v>
      </c>
      <c r="F35" s="27">
        <v>0.05</v>
      </c>
      <c r="G35" s="34">
        <v>1.0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23" t="s">
        <v>83</v>
      </c>
      <c r="C36" s="32">
        <v>9464.92</v>
      </c>
      <c r="D36" s="26">
        <v>2532.355</v>
      </c>
      <c r="E36" s="33">
        <v>0.2675516538967049</v>
      </c>
      <c r="F36" s="27">
        <v>0.05</v>
      </c>
      <c r="G36" s="34">
        <v>1.0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23" t="s">
        <v>84</v>
      </c>
      <c r="C37" s="32">
        <v>51615.17</v>
      </c>
      <c r="D37" s="26">
        <v>13730.768</v>
      </c>
      <c r="E37" s="33">
        <v>0.26602194664863066</v>
      </c>
      <c r="F37" s="27">
        <v>0.05</v>
      </c>
      <c r="G37" s="34">
        <v>1.0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23" t="s">
        <v>85</v>
      </c>
      <c r="C38" s="32">
        <v>7106.8335</v>
      </c>
      <c r="D38" s="26">
        <v>1886.0935</v>
      </c>
      <c r="E38" s="33">
        <v>0.2653915418167599</v>
      </c>
      <c r="F38" s="27">
        <v>0.05</v>
      </c>
      <c r="G38" s="34">
        <v>1.0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3" t="s">
        <v>86</v>
      </c>
      <c r="C39" s="32">
        <v>31404.437</v>
      </c>
      <c r="D39" s="26">
        <v>8319.185</v>
      </c>
      <c r="E39" s="33">
        <v>0.2649047648903879</v>
      </c>
      <c r="F39" s="27">
        <v>0.05</v>
      </c>
      <c r="G39" s="34">
        <v>1.0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23" t="s">
        <v>87</v>
      </c>
      <c r="C40" s="32">
        <v>34194.878</v>
      </c>
      <c r="D40" s="26">
        <v>9013.087</v>
      </c>
      <c r="E40" s="33">
        <v>0.2635800309040436</v>
      </c>
      <c r="F40" s="27">
        <v>0.05</v>
      </c>
      <c r="G40" s="34">
        <v>1.0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23" t="s">
        <v>88</v>
      </c>
      <c r="C41" s="32">
        <v>14523.59</v>
      </c>
      <c r="D41" s="26">
        <v>3743.155</v>
      </c>
      <c r="E41" s="33">
        <v>0.2577293217448303</v>
      </c>
      <c r="F41" s="27">
        <v>0.05</v>
      </c>
      <c r="G41" s="34">
        <v>1.0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23" t="s">
        <v>89</v>
      </c>
      <c r="C42" s="32">
        <v>33227.139</v>
      </c>
      <c r="D42" s="26">
        <v>8549.4913</v>
      </c>
      <c r="E42" s="33">
        <v>0.25730446729102974</v>
      </c>
      <c r="F42" s="27">
        <v>0.05</v>
      </c>
      <c r="G42" s="34">
        <v>1.0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23" t="s">
        <v>90</v>
      </c>
      <c r="C43" s="32">
        <v>39806.301</v>
      </c>
      <c r="D43" s="26">
        <v>10232.732</v>
      </c>
      <c r="E43" s="33">
        <v>0.2570631217404501</v>
      </c>
      <c r="F43" s="27">
        <v>0.05</v>
      </c>
      <c r="G43" s="34">
        <v>1.0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23" t="s">
        <v>91</v>
      </c>
      <c r="C44" s="32">
        <v>65712.5635</v>
      </c>
      <c r="D44" s="26">
        <v>16887.504</v>
      </c>
      <c r="E44" s="33">
        <v>0.2569904916279822</v>
      </c>
      <c r="F44" s="27">
        <v>0.05</v>
      </c>
      <c r="G44" s="34">
        <v>1.0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23" t="s">
        <v>92</v>
      </c>
      <c r="C45" s="32">
        <v>15663.314</v>
      </c>
      <c r="D45" s="26">
        <v>4005.672</v>
      </c>
      <c r="E45" s="33">
        <v>0.25573591897602255</v>
      </c>
      <c r="F45" s="27">
        <v>0.05</v>
      </c>
      <c r="G45" s="34">
        <v>1.0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23" t="s">
        <v>93</v>
      </c>
      <c r="C46" s="32">
        <v>22275.511</v>
      </c>
      <c r="D46" s="26">
        <v>5675.981</v>
      </c>
      <c r="E46" s="33">
        <v>0.2548081164108873</v>
      </c>
      <c r="F46" s="27">
        <v>0.05</v>
      </c>
      <c r="G46" s="34">
        <v>1.0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23" t="s">
        <v>94</v>
      </c>
      <c r="C47" s="32">
        <v>169.13</v>
      </c>
      <c r="D47" s="26">
        <v>43.05</v>
      </c>
      <c r="E47" s="33">
        <v>0.25453792940341746</v>
      </c>
      <c r="F47" s="27">
        <v>0.05</v>
      </c>
      <c r="G47" s="34">
        <v>1.0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23" t="s">
        <v>95</v>
      </c>
      <c r="C48" s="32">
        <v>19863.657</v>
      </c>
      <c r="D48" s="26">
        <v>5052.348</v>
      </c>
      <c r="E48" s="33">
        <v>0.25435135131461445</v>
      </c>
      <c r="F48" s="27">
        <v>0.05</v>
      </c>
      <c r="G48" s="34">
        <v>1.0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23" t="s">
        <v>96</v>
      </c>
      <c r="C49" s="32">
        <v>68151.5835</v>
      </c>
      <c r="D49" s="26">
        <v>17290.6624</v>
      </c>
      <c r="E49" s="33">
        <v>0.2537088870429548</v>
      </c>
      <c r="F49" s="27">
        <v>0.05</v>
      </c>
      <c r="G49" s="34">
        <v>1.0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23" t="s">
        <v>97</v>
      </c>
      <c r="C50" s="32">
        <v>22303.802</v>
      </c>
      <c r="D50" s="26">
        <v>5624.878</v>
      </c>
      <c r="E50" s="33">
        <v>0.2521936842875488</v>
      </c>
      <c r="F50" s="27">
        <v>0.05</v>
      </c>
      <c r="G50" s="34">
        <v>1.0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23" t="s">
        <v>98</v>
      </c>
      <c r="C51" s="32">
        <v>7329.51</v>
      </c>
      <c r="D51" s="26">
        <v>1831.22</v>
      </c>
      <c r="E51" s="33">
        <v>0.24984207675547204</v>
      </c>
      <c r="F51" s="27">
        <v>0.05</v>
      </c>
      <c r="G51" s="34">
        <v>1.0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23" t="s">
        <v>99</v>
      </c>
      <c r="C52" s="32">
        <v>11496.88</v>
      </c>
      <c r="D52" s="26">
        <v>2871.0875</v>
      </c>
      <c r="E52" s="33">
        <v>0.24972753477465193</v>
      </c>
      <c r="F52" s="27">
        <v>0.05</v>
      </c>
      <c r="G52" s="34">
        <v>1.0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23" t="s">
        <v>100</v>
      </c>
      <c r="C53" s="32">
        <v>117.91</v>
      </c>
      <c r="D53" s="26">
        <v>29.27</v>
      </c>
      <c r="E53" s="33">
        <v>0.2482401831905691</v>
      </c>
      <c r="F53" s="27">
        <v>0.05</v>
      </c>
      <c r="G53" s="34">
        <v>1.0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23" t="s">
        <v>101</v>
      </c>
      <c r="C54" s="32">
        <v>115576.9625</v>
      </c>
      <c r="D54" s="26">
        <v>28684.9085</v>
      </c>
      <c r="E54" s="33">
        <v>0.24818880752295253</v>
      </c>
      <c r="F54" s="27">
        <v>0.05</v>
      </c>
      <c r="G54" s="34">
        <v>1.0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23" t="s">
        <v>102</v>
      </c>
      <c r="C55" s="32">
        <v>2536.41</v>
      </c>
      <c r="D55" s="26">
        <v>627.351</v>
      </c>
      <c r="E55" s="33">
        <v>0.24733816693673344</v>
      </c>
      <c r="F55" s="27">
        <v>0.05</v>
      </c>
      <c r="G55" s="34">
        <v>1.0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23" t="s">
        <v>103</v>
      </c>
      <c r="C56" s="32">
        <v>5115.9275</v>
      </c>
      <c r="D56" s="26">
        <v>1261.636</v>
      </c>
      <c r="E56" s="33">
        <v>0.24660943690073794</v>
      </c>
      <c r="F56" s="27">
        <v>0.05</v>
      </c>
      <c r="G56" s="34">
        <v>1.0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23" t="s">
        <v>104</v>
      </c>
      <c r="C57" s="32">
        <v>3803.936</v>
      </c>
      <c r="D57" s="26">
        <v>938.0035</v>
      </c>
      <c r="E57" s="33">
        <v>0.24658761346142521</v>
      </c>
      <c r="F57" s="27">
        <v>0.05</v>
      </c>
      <c r="G57" s="34">
        <v>1.0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23" t="s">
        <v>105</v>
      </c>
      <c r="C58" s="32">
        <v>14886.39</v>
      </c>
      <c r="D58" s="26">
        <v>3664.91</v>
      </c>
      <c r="E58" s="33">
        <v>0.24619199147677845</v>
      </c>
      <c r="F58" s="27">
        <v>0.05</v>
      </c>
      <c r="G58" s="34">
        <v>1.0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23" t="s">
        <v>106</v>
      </c>
      <c r="C59" s="32">
        <v>8948.9</v>
      </c>
      <c r="D59" s="26">
        <v>2193.25</v>
      </c>
      <c r="E59" s="33">
        <v>0.24508598822201613</v>
      </c>
      <c r="F59" s="27">
        <v>0.05</v>
      </c>
      <c r="G59" s="34">
        <v>1.0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23" t="s">
        <v>107</v>
      </c>
      <c r="C60" s="32">
        <v>5580.16</v>
      </c>
      <c r="D60" s="26">
        <v>1362.93</v>
      </c>
      <c r="E60" s="33">
        <v>0.2442456847115495</v>
      </c>
      <c r="F60" s="27">
        <v>0.05</v>
      </c>
      <c r="G60" s="34">
        <v>1.0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23" t="s">
        <v>108</v>
      </c>
      <c r="C61" s="32">
        <v>51470.249</v>
      </c>
      <c r="D61" s="26">
        <v>12371.264</v>
      </c>
      <c r="E61" s="33">
        <v>0.24035757044812428</v>
      </c>
      <c r="F61" s="27">
        <v>0.05</v>
      </c>
      <c r="G61" s="34">
        <v>1.0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23" t="s">
        <v>109</v>
      </c>
      <c r="C62" s="32">
        <v>10062.341</v>
      </c>
      <c r="D62" s="26">
        <v>2388.748</v>
      </c>
      <c r="E62" s="33">
        <v>0.23739485672369878</v>
      </c>
      <c r="F62" s="27">
        <v>0.05</v>
      </c>
      <c r="G62" s="34">
        <v>1.0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23" t="s">
        <v>110</v>
      </c>
      <c r="C63" s="32">
        <v>143.85</v>
      </c>
      <c r="D63" s="26">
        <v>34.14</v>
      </c>
      <c r="E63" s="33">
        <v>0.23733055265901984</v>
      </c>
      <c r="F63" s="27">
        <v>0.05</v>
      </c>
      <c r="G63" s="34">
        <v>1.0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23" t="s">
        <v>111</v>
      </c>
      <c r="C64" s="32">
        <v>45945.2485</v>
      </c>
      <c r="D64" s="26">
        <v>10899.8909</v>
      </c>
      <c r="E64" s="33">
        <v>0.2372365207688451</v>
      </c>
      <c r="F64" s="27">
        <v>0.05</v>
      </c>
      <c r="G64" s="34">
        <v>1.0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23" t="s">
        <v>112</v>
      </c>
      <c r="C65" s="32">
        <v>54967.4515</v>
      </c>
      <c r="D65" s="26">
        <v>13008.288</v>
      </c>
      <c r="E65" s="33">
        <v>0.23665437718173998</v>
      </c>
      <c r="F65" s="27">
        <v>0.05</v>
      </c>
      <c r="G65" s="34">
        <v>1.0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23" t="s">
        <v>113</v>
      </c>
      <c r="C66" s="32">
        <v>1824.91</v>
      </c>
      <c r="D66" s="26">
        <v>431.31</v>
      </c>
      <c r="E66" s="33">
        <v>0.23634590198968716</v>
      </c>
      <c r="F66" s="27">
        <v>0.05</v>
      </c>
      <c r="G66" s="34">
        <v>1.0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23" t="s">
        <v>114</v>
      </c>
      <c r="C67" s="32">
        <v>39530.0815</v>
      </c>
      <c r="D67" s="26">
        <v>9333.779</v>
      </c>
      <c r="E67" s="33">
        <v>0.23611838493173865</v>
      </c>
      <c r="F67" s="27">
        <v>0.05</v>
      </c>
      <c r="G67" s="34">
        <v>1.0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23" t="s">
        <v>115</v>
      </c>
      <c r="C68" s="32">
        <v>84769.2525</v>
      </c>
      <c r="D68" s="26">
        <v>19833.8575</v>
      </c>
      <c r="E68" s="33">
        <v>0.23397466551919868</v>
      </c>
      <c r="F68" s="27">
        <v>0.05</v>
      </c>
      <c r="G68" s="34">
        <v>1.0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23" t="s">
        <v>116</v>
      </c>
      <c r="C69" s="32">
        <v>28318.7235</v>
      </c>
      <c r="D69" s="26">
        <v>6615.019</v>
      </c>
      <c r="E69" s="33">
        <v>0.23359170832682483</v>
      </c>
      <c r="F69" s="27">
        <v>0.05</v>
      </c>
      <c r="G69" s="34">
        <v>1.0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23" t="s">
        <v>117</v>
      </c>
      <c r="C70" s="32">
        <v>52872.504</v>
      </c>
      <c r="D70" s="26">
        <v>12308.02</v>
      </c>
      <c r="E70" s="33">
        <v>0.23278678081900567</v>
      </c>
      <c r="F70" s="27">
        <v>0.05</v>
      </c>
      <c r="G70" s="34">
        <v>1.0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23" t="s">
        <v>118</v>
      </c>
      <c r="C71" s="32">
        <v>9168.1</v>
      </c>
      <c r="D71" s="26">
        <v>2125.3175</v>
      </c>
      <c r="E71" s="33">
        <v>0.23181657049988547</v>
      </c>
      <c r="F71" s="27">
        <v>0.05</v>
      </c>
      <c r="G71" s="34">
        <v>1.0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23" t="s">
        <v>119</v>
      </c>
      <c r="C72" s="32">
        <v>11130.57</v>
      </c>
      <c r="D72" s="26">
        <v>2577.52</v>
      </c>
      <c r="E72" s="33">
        <v>0.23157124927115144</v>
      </c>
      <c r="F72" s="27">
        <v>0.05</v>
      </c>
      <c r="G72" s="34">
        <v>1.0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23" t="s">
        <v>120</v>
      </c>
      <c r="C73" s="32">
        <v>38769.382</v>
      </c>
      <c r="D73" s="26">
        <v>8945.7836</v>
      </c>
      <c r="E73" s="33">
        <v>0.23074351817111763</v>
      </c>
      <c r="F73" s="27">
        <v>0.05</v>
      </c>
      <c r="G73" s="34">
        <v>1.0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23" t="s">
        <v>121</v>
      </c>
      <c r="C74" s="32">
        <v>42086.94</v>
      </c>
      <c r="D74" s="26">
        <v>9665.11</v>
      </c>
      <c r="E74" s="33">
        <v>0.2296462988280925</v>
      </c>
      <c r="F74" s="27">
        <v>0.05</v>
      </c>
      <c r="G74" s="34">
        <v>1.0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23" t="s">
        <v>122</v>
      </c>
      <c r="C75" s="32">
        <v>68754.1015</v>
      </c>
      <c r="D75" s="26">
        <v>15725.8425</v>
      </c>
      <c r="E75" s="33">
        <v>0.2287258819024782</v>
      </c>
      <c r="F75" s="27">
        <v>0.05</v>
      </c>
      <c r="G75" s="34">
        <v>1.0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23" t="s">
        <v>123</v>
      </c>
      <c r="C76" s="32">
        <v>35667.1875</v>
      </c>
      <c r="D76" s="26">
        <v>8128.684</v>
      </c>
      <c r="E76" s="33">
        <v>0.2279037000043808</v>
      </c>
      <c r="F76" s="27">
        <v>0.05</v>
      </c>
      <c r="G76" s="34">
        <v>1.0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3" t="s">
        <v>124</v>
      </c>
      <c r="C77" s="32">
        <v>197.95</v>
      </c>
      <c r="D77" s="26">
        <v>44.84</v>
      </c>
      <c r="E77" s="33">
        <v>0.22652184895175553</v>
      </c>
      <c r="F77" s="27">
        <v>0.05</v>
      </c>
      <c r="G77" s="34">
        <v>1.0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23" t="s">
        <v>125</v>
      </c>
      <c r="C78" s="32">
        <v>10441.107</v>
      </c>
      <c r="D78" s="26">
        <v>2349.5838</v>
      </c>
      <c r="E78" s="33">
        <v>0.2250320583823152</v>
      </c>
      <c r="F78" s="27">
        <v>0.05</v>
      </c>
      <c r="G78" s="34">
        <v>1.0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3" t="s">
        <v>126</v>
      </c>
      <c r="C79" s="32">
        <v>72503.203</v>
      </c>
      <c r="D79" s="26">
        <v>16308.9169</v>
      </c>
      <c r="E79" s="33">
        <v>0.22494064020868157</v>
      </c>
      <c r="F79" s="27">
        <v>0.05</v>
      </c>
      <c r="G79" s="34">
        <v>1.0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3" t="s">
        <v>127</v>
      </c>
      <c r="C80" s="32">
        <v>10771.74</v>
      </c>
      <c r="D80" s="26">
        <v>2416.2</v>
      </c>
      <c r="E80" s="33">
        <v>0.22430916453609165</v>
      </c>
      <c r="F80" s="27">
        <v>0.05</v>
      </c>
      <c r="G80" s="34">
        <v>1.0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3" t="s">
        <v>128</v>
      </c>
      <c r="C81" s="32">
        <v>12714.024</v>
      </c>
      <c r="D81" s="26">
        <v>2842.627</v>
      </c>
      <c r="E81" s="33">
        <v>0.2235820067667011</v>
      </c>
      <c r="F81" s="27">
        <v>0.05</v>
      </c>
      <c r="G81" s="34">
        <v>1.0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23" t="s">
        <v>129</v>
      </c>
      <c r="C82" s="32">
        <v>23127.529</v>
      </c>
      <c r="D82" s="26">
        <v>5155.682</v>
      </c>
      <c r="E82" s="33">
        <v>0.22292403135674374</v>
      </c>
      <c r="F82" s="27">
        <v>0.05</v>
      </c>
      <c r="G82" s="34">
        <v>1.0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23" t="s">
        <v>130</v>
      </c>
      <c r="C83" s="32">
        <v>21848.33</v>
      </c>
      <c r="D83" s="26">
        <v>4840.67</v>
      </c>
      <c r="E83" s="33">
        <v>0.22155789481392857</v>
      </c>
      <c r="F83" s="27">
        <v>0.05</v>
      </c>
      <c r="G83" s="34">
        <v>1.0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23" t="s">
        <v>131</v>
      </c>
      <c r="C84" s="32">
        <v>43625.1295</v>
      </c>
      <c r="D84" s="26">
        <v>9592.548</v>
      </c>
      <c r="E84" s="33">
        <v>0.21988583437901313</v>
      </c>
      <c r="F84" s="27">
        <v>0.05</v>
      </c>
      <c r="G84" s="34">
        <v>1.0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3" t="s">
        <v>132</v>
      </c>
      <c r="C85" s="32">
        <v>4566.938</v>
      </c>
      <c r="D85" s="26">
        <v>1000.492</v>
      </c>
      <c r="E85" s="33">
        <v>0.21907282297241606</v>
      </c>
      <c r="F85" s="27">
        <v>0.05</v>
      </c>
      <c r="G85" s="34">
        <v>1.0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23" t="s">
        <v>133</v>
      </c>
      <c r="C86" s="32">
        <v>20884.64</v>
      </c>
      <c r="D86" s="26">
        <v>4558.1075</v>
      </c>
      <c r="E86" s="33">
        <v>0.21825166725402018</v>
      </c>
      <c r="F86" s="27">
        <v>0.05</v>
      </c>
      <c r="G86" s="34">
        <v>1.0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23" t="s">
        <v>134</v>
      </c>
      <c r="C87" s="32">
        <v>7266.0635</v>
      </c>
      <c r="D87" s="26">
        <v>1575.28</v>
      </c>
      <c r="E87" s="33">
        <v>0.2167996467413201</v>
      </c>
      <c r="F87" s="27">
        <v>0.05</v>
      </c>
      <c r="G87" s="34">
        <v>1.0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3" t="s">
        <v>135</v>
      </c>
      <c r="C88" s="32">
        <v>17251.795</v>
      </c>
      <c r="D88" s="26">
        <v>3739.076</v>
      </c>
      <c r="E88" s="33">
        <v>0.21673547593163497</v>
      </c>
      <c r="F88" s="27">
        <v>0.05</v>
      </c>
      <c r="G88" s="34">
        <v>1.0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3" t="s">
        <v>136</v>
      </c>
      <c r="C89" s="32">
        <v>2962.03</v>
      </c>
      <c r="D89" s="26">
        <v>641.287</v>
      </c>
      <c r="E89" s="33">
        <v>0.2165025337353099</v>
      </c>
      <c r="F89" s="27">
        <v>0.05</v>
      </c>
      <c r="G89" s="34">
        <v>1.0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3" t="s">
        <v>137</v>
      </c>
      <c r="C90" s="32">
        <v>68745.6035</v>
      </c>
      <c r="D90" s="26">
        <v>14860.1165</v>
      </c>
      <c r="E90" s="33">
        <v>0.21616097238858337</v>
      </c>
      <c r="F90" s="27">
        <v>0.05</v>
      </c>
      <c r="G90" s="34">
        <v>1.0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3" t="s">
        <v>138</v>
      </c>
      <c r="C91" s="32">
        <v>17895.704</v>
      </c>
      <c r="D91" s="26">
        <v>3833.416</v>
      </c>
      <c r="E91" s="33">
        <v>0.21420872853060152</v>
      </c>
      <c r="F91" s="27">
        <v>0.05</v>
      </c>
      <c r="G91" s="34">
        <v>1.0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3" t="s">
        <v>139</v>
      </c>
      <c r="C92" s="32">
        <v>4934.07</v>
      </c>
      <c r="D92" s="26">
        <v>1056.54</v>
      </c>
      <c r="E92" s="33">
        <v>0.21413153846621552</v>
      </c>
      <c r="F92" s="27">
        <v>0.05</v>
      </c>
      <c r="G92" s="34">
        <v>1.0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23" t="s">
        <v>140</v>
      </c>
      <c r="C93" s="32">
        <v>1864.02</v>
      </c>
      <c r="D93" s="26">
        <v>399.08</v>
      </c>
      <c r="E93" s="33">
        <v>0.21409641527451423</v>
      </c>
      <c r="F93" s="27">
        <v>0.05</v>
      </c>
      <c r="G93" s="34">
        <v>1.0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3" t="s">
        <v>141</v>
      </c>
      <c r="C94" s="32">
        <v>56856.952</v>
      </c>
      <c r="D94" s="26">
        <v>12172.7656</v>
      </c>
      <c r="E94" s="33">
        <v>0.21409458600594702</v>
      </c>
      <c r="F94" s="27">
        <v>0.05</v>
      </c>
      <c r="G94" s="34">
        <v>1.0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3" t="s">
        <v>142</v>
      </c>
      <c r="C95" s="32">
        <v>28741.7815</v>
      </c>
      <c r="D95" s="26">
        <v>6148.9095</v>
      </c>
      <c r="E95" s="33">
        <v>0.2139362690513808</v>
      </c>
      <c r="F95" s="27">
        <v>0.05</v>
      </c>
      <c r="G95" s="34">
        <v>1.0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3" t="s">
        <v>143</v>
      </c>
      <c r="C96" s="32">
        <v>72377.3785</v>
      </c>
      <c r="D96" s="26">
        <v>15375.958</v>
      </c>
      <c r="E96" s="33">
        <v>0.21244148819233621</v>
      </c>
      <c r="F96" s="27">
        <v>0.05</v>
      </c>
      <c r="G96" s="34">
        <v>1.0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3" t="s">
        <v>144</v>
      </c>
      <c r="C97" s="32">
        <v>89.99</v>
      </c>
      <c r="D97" s="26">
        <v>18.955</v>
      </c>
      <c r="E97" s="33">
        <v>0.2106345149461051</v>
      </c>
      <c r="F97" s="27">
        <v>0.05</v>
      </c>
      <c r="G97" s="34">
        <v>1.0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3" t="s">
        <v>145</v>
      </c>
      <c r="C98" s="32">
        <v>28771.415</v>
      </c>
      <c r="D98" s="26">
        <v>6045.942</v>
      </c>
      <c r="E98" s="33">
        <v>0.21013711004481356</v>
      </c>
      <c r="F98" s="27">
        <v>0.05</v>
      </c>
      <c r="G98" s="34">
        <v>1.0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3" t="s">
        <v>146</v>
      </c>
      <c r="C99" s="32">
        <v>2054.88</v>
      </c>
      <c r="D99" s="26">
        <v>431.7355</v>
      </c>
      <c r="E99" s="33">
        <v>0.21010253640115237</v>
      </c>
      <c r="F99" s="27">
        <v>0.05</v>
      </c>
      <c r="G99" s="34">
        <v>1.0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3" t="s">
        <v>147</v>
      </c>
      <c r="C100" s="32">
        <v>70407.7645</v>
      </c>
      <c r="D100" s="26">
        <v>14784.2711</v>
      </c>
      <c r="E100" s="33">
        <v>0.2099806918312255</v>
      </c>
      <c r="F100" s="27">
        <v>0.05</v>
      </c>
      <c r="G100" s="34">
        <v>1.0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3" t="s">
        <v>148</v>
      </c>
      <c r="C101" s="32">
        <v>37316.486</v>
      </c>
      <c r="D101" s="26">
        <v>7808.1145</v>
      </c>
      <c r="E101" s="33">
        <v>0.20924034755040977</v>
      </c>
      <c r="F101" s="27">
        <v>0.05</v>
      </c>
      <c r="G101" s="34">
        <v>1.0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3" t="s">
        <v>149</v>
      </c>
      <c r="C102" s="32">
        <v>114773.791</v>
      </c>
      <c r="D102" s="26">
        <v>23959.1902</v>
      </c>
      <c r="E102" s="33">
        <v>0.2087514056236062</v>
      </c>
      <c r="F102" s="27">
        <v>0.05</v>
      </c>
      <c r="G102" s="34">
        <v>1.0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3" t="s">
        <v>150</v>
      </c>
      <c r="C103" s="32">
        <v>23416.8335</v>
      </c>
      <c r="D103" s="26">
        <v>4855.2215</v>
      </c>
      <c r="E103" s="33">
        <v>0.20733894273109127</v>
      </c>
      <c r="F103" s="27">
        <v>0.05</v>
      </c>
      <c r="G103" s="34">
        <v>1.0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3" t="s">
        <v>151</v>
      </c>
      <c r="C104" s="32">
        <v>27451.2845</v>
      </c>
      <c r="D104" s="26">
        <v>5655.1595</v>
      </c>
      <c r="E104" s="33">
        <v>0.20600709959492058</v>
      </c>
      <c r="F104" s="27">
        <v>0.05</v>
      </c>
      <c r="G104" s="34">
        <v>1.0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3" t="s">
        <v>152</v>
      </c>
      <c r="C105" s="32">
        <v>7689.56</v>
      </c>
      <c r="D105" s="26">
        <v>1582.017</v>
      </c>
      <c r="E105" s="33">
        <v>0.20573569879160836</v>
      </c>
      <c r="F105" s="27">
        <v>0.05</v>
      </c>
      <c r="G105" s="34">
        <v>1.0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3" t="s">
        <v>153</v>
      </c>
      <c r="C106" s="32">
        <v>5347.9</v>
      </c>
      <c r="D106" s="26">
        <v>1095.996</v>
      </c>
      <c r="E106" s="33">
        <v>0.20493950896613627</v>
      </c>
      <c r="F106" s="27">
        <v>0.05</v>
      </c>
      <c r="G106" s="34">
        <v>1.0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3" t="s">
        <v>154</v>
      </c>
      <c r="C107" s="32">
        <v>18749.98</v>
      </c>
      <c r="D107" s="26">
        <v>3838.5645</v>
      </c>
      <c r="E107" s="33">
        <v>0.20472365837190226</v>
      </c>
      <c r="F107" s="27">
        <v>0.05</v>
      </c>
      <c r="G107" s="34">
        <v>1.0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23" t="s">
        <v>155</v>
      </c>
      <c r="C108" s="32">
        <v>2626.384</v>
      </c>
      <c r="D108" s="26">
        <v>531.446</v>
      </c>
      <c r="E108" s="33">
        <v>0.20234893298162038</v>
      </c>
      <c r="F108" s="27">
        <v>0.05</v>
      </c>
      <c r="G108" s="34">
        <v>1.0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3" t="s">
        <v>156</v>
      </c>
      <c r="C109" s="32">
        <v>6913.04</v>
      </c>
      <c r="D109" s="26">
        <v>1396.118</v>
      </c>
      <c r="E109" s="33">
        <v>0.20195427771284413</v>
      </c>
      <c r="F109" s="27">
        <v>0.05</v>
      </c>
      <c r="G109" s="34">
        <v>1.0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3" t="s">
        <v>157</v>
      </c>
      <c r="C110" s="32">
        <v>19066.8955</v>
      </c>
      <c r="D110" s="26">
        <v>3849.517</v>
      </c>
      <c r="E110" s="33">
        <v>0.201895321658421</v>
      </c>
      <c r="F110" s="27">
        <v>0.05</v>
      </c>
      <c r="G110" s="34">
        <v>1.0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23" t="s">
        <v>158</v>
      </c>
      <c r="C111" s="32">
        <v>26886.11</v>
      </c>
      <c r="D111" s="26">
        <v>5412.137</v>
      </c>
      <c r="E111" s="33">
        <v>0.2012986259447722</v>
      </c>
      <c r="F111" s="27">
        <v>0.05</v>
      </c>
      <c r="G111" s="34">
        <v>1.0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23" t="s">
        <v>159</v>
      </c>
      <c r="C112" s="32">
        <v>45570.3055</v>
      </c>
      <c r="D112" s="26">
        <v>9062.119</v>
      </c>
      <c r="E112" s="33">
        <v>0.1988601766121581</v>
      </c>
      <c r="F112" s="27">
        <v>0.05</v>
      </c>
      <c r="G112" s="34">
        <v>1.0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3" t="s">
        <v>160</v>
      </c>
      <c r="C113" s="32">
        <v>16340.718</v>
      </c>
      <c r="D113" s="26">
        <v>3211.248</v>
      </c>
      <c r="E113" s="33">
        <v>0.19651817013181427</v>
      </c>
      <c r="F113" s="27">
        <v>0.05</v>
      </c>
      <c r="G113" s="34">
        <v>1.0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3" t="s">
        <v>161</v>
      </c>
      <c r="C114" s="32">
        <v>28657.239</v>
      </c>
      <c r="D114" s="26">
        <v>5538.671</v>
      </c>
      <c r="E114" s="33">
        <v>0.19327301558953394</v>
      </c>
      <c r="F114" s="27">
        <v>0.05</v>
      </c>
      <c r="G114" s="34">
        <v>1.0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3" t="s">
        <v>162</v>
      </c>
      <c r="C115" s="32">
        <v>34884.1425</v>
      </c>
      <c r="D115" s="26">
        <v>6720.3924</v>
      </c>
      <c r="E115" s="33">
        <v>0.19264892063779407</v>
      </c>
      <c r="F115" s="27">
        <v>0.05</v>
      </c>
      <c r="G115" s="34">
        <v>1.0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3" t="s">
        <v>163</v>
      </c>
      <c r="C116" s="32">
        <v>131032.1305</v>
      </c>
      <c r="D116" s="26">
        <v>25236.0043</v>
      </c>
      <c r="E116" s="33">
        <v>0.19259401647292915</v>
      </c>
      <c r="F116" s="27">
        <v>0.05</v>
      </c>
      <c r="G116" s="34">
        <v>1.0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23" t="s">
        <v>164</v>
      </c>
      <c r="C117" s="32">
        <v>2175.98</v>
      </c>
      <c r="D117" s="26">
        <v>418.83</v>
      </c>
      <c r="E117" s="33">
        <v>0.19247879116535996</v>
      </c>
      <c r="F117" s="27">
        <v>0.05</v>
      </c>
      <c r="G117" s="34">
        <v>1.0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23" t="s">
        <v>165</v>
      </c>
      <c r="C118" s="32">
        <v>36731.2115</v>
      </c>
      <c r="D118" s="26">
        <v>7003.5338</v>
      </c>
      <c r="E118" s="33">
        <v>0.19066982857344633</v>
      </c>
      <c r="F118" s="27">
        <v>0.05</v>
      </c>
      <c r="G118" s="34">
        <v>1.0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23" t="s">
        <v>166</v>
      </c>
      <c r="C119" s="32">
        <v>2632.84</v>
      </c>
      <c r="D119" s="26">
        <v>501.96</v>
      </c>
      <c r="E119" s="33">
        <v>0.19065343887209246</v>
      </c>
      <c r="F119" s="27">
        <v>0.05</v>
      </c>
      <c r="G119" s="34">
        <v>1.0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23" t="s">
        <v>167</v>
      </c>
      <c r="C120" s="32">
        <v>1111.04</v>
      </c>
      <c r="D120" s="26">
        <v>211.78</v>
      </c>
      <c r="E120" s="33">
        <v>0.19061419930875576</v>
      </c>
      <c r="F120" s="27">
        <v>0.05</v>
      </c>
      <c r="G120" s="34">
        <v>1.0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23" t="s">
        <v>168</v>
      </c>
      <c r="C121" s="32">
        <v>20908.2995</v>
      </c>
      <c r="D121" s="26">
        <v>3957.936</v>
      </c>
      <c r="E121" s="33">
        <v>0.18929975630012377</v>
      </c>
      <c r="F121" s="27">
        <v>0.05</v>
      </c>
      <c r="G121" s="34">
        <v>1.0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23" t="s">
        <v>169</v>
      </c>
      <c r="C122" s="32">
        <v>36956.1965</v>
      </c>
      <c r="D122" s="26">
        <v>6953.9886</v>
      </c>
      <c r="E122" s="33">
        <v>0.1881684063456043</v>
      </c>
      <c r="F122" s="27">
        <v>0.05</v>
      </c>
      <c r="G122" s="34">
        <v>1.0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23" t="s">
        <v>170</v>
      </c>
      <c r="C123" s="32">
        <v>49929.109</v>
      </c>
      <c r="D123" s="26">
        <v>9378.061</v>
      </c>
      <c r="E123" s="33">
        <v>0.18782752562237792</v>
      </c>
      <c r="F123" s="27">
        <v>0.05</v>
      </c>
      <c r="G123" s="34">
        <v>1.0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3" t="s">
        <v>171</v>
      </c>
      <c r="C124" s="32">
        <v>73002.3525</v>
      </c>
      <c r="D124" s="26">
        <v>13679.9023</v>
      </c>
      <c r="E124" s="33">
        <v>0.18738988308630192</v>
      </c>
      <c r="F124" s="27">
        <v>0.05</v>
      </c>
      <c r="G124" s="34">
        <v>1.0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23" t="s">
        <v>172</v>
      </c>
      <c r="C125" s="32">
        <v>5466.5875</v>
      </c>
      <c r="D125" s="26">
        <v>1022.323</v>
      </c>
      <c r="E125" s="33">
        <v>0.18701301314576965</v>
      </c>
      <c r="F125" s="27">
        <v>0.05</v>
      </c>
      <c r="G125" s="34">
        <v>1.0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23" t="s">
        <v>173</v>
      </c>
      <c r="C126" s="32">
        <v>91118.4995</v>
      </c>
      <c r="D126" s="26">
        <v>16983.4852</v>
      </c>
      <c r="E126" s="33">
        <v>0.18638899118394722</v>
      </c>
      <c r="F126" s="27">
        <v>0.05</v>
      </c>
      <c r="G126" s="34">
        <v>1.0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23" t="s">
        <v>174</v>
      </c>
      <c r="C127" s="32">
        <v>14880.44</v>
      </c>
      <c r="D127" s="26">
        <v>2770.407</v>
      </c>
      <c r="E127" s="33">
        <v>0.18617776087266238</v>
      </c>
      <c r="F127" s="27">
        <v>0.05</v>
      </c>
      <c r="G127" s="34">
        <v>1.0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23" t="s">
        <v>175</v>
      </c>
      <c r="C128" s="32">
        <v>13754.95</v>
      </c>
      <c r="D128" s="26">
        <v>2551.6195</v>
      </c>
      <c r="E128" s="33">
        <v>0.18550554527642774</v>
      </c>
      <c r="F128" s="27">
        <v>0.05</v>
      </c>
      <c r="G128" s="34">
        <v>1.0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23" t="s">
        <v>176</v>
      </c>
      <c r="C129" s="32">
        <v>52271.5525</v>
      </c>
      <c r="D129" s="26">
        <v>9688.2056</v>
      </c>
      <c r="E129" s="33">
        <v>0.18534375079064278</v>
      </c>
      <c r="F129" s="27">
        <v>0.05</v>
      </c>
      <c r="G129" s="34">
        <v>1.0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23" t="s">
        <v>177</v>
      </c>
      <c r="C130" s="32">
        <v>77085.364</v>
      </c>
      <c r="D130" s="26">
        <v>14252.616</v>
      </c>
      <c r="E130" s="33">
        <v>0.18489393135641158</v>
      </c>
      <c r="F130" s="27">
        <v>0.05</v>
      </c>
      <c r="G130" s="34">
        <v>1.0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23" t="s">
        <v>178</v>
      </c>
      <c r="C131" s="32">
        <v>48721.6335</v>
      </c>
      <c r="D131" s="26">
        <v>8981.5695</v>
      </c>
      <c r="E131" s="33">
        <v>0.18434458893912084</v>
      </c>
      <c r="F131" s="27">
        <v>0.05</v>
      </c>
      <c r="G131" s="34">
        <v>1.0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3" t="s">
        <v>179</v>
      </c>
      <c r="C132" s="32">
        <v>6587.736</v>
      </c>
      <c r="D132" s="26">
        <v>1197.644</v>
      </c>
      <c r="E132" s="33">
        <v>0.18179902776917595</v>
      </c>
      <c r="F132" s="27">
        <v>0.05</v>
      </c>
      <c r="G132" s="34">
        <v>1.0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23" t="s">
        <v>180</v>
      </c>
      <c r="C133" s="32">
        <v>9792.617</v>
      </c>
      <c r="D133" s="26">
        <v>1765.087</v>
      </c>
      <c r="E133" s="33">
        <v>0.18024671035332027</v>
      </c>
      <c r="F133" s="27">
        <v>0.05</v>
      </c>
      <c r="G133" s="34">
        <v>1.0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23" t="s">
        <v>181</v>
      </c>
      <c r="C134" s="32">
        <v>82733.132</v>
      </c>
      <c r="D134" s="26">
        <v>14902.2746</v>
      </c>
      <c r="E134" s="33">
        <v>0.18012462770054447</v>
      </c>
      <c r="F134" s="27">
        <v>0.05</v>
      </c>
      <c r="G134" s="34">
        <v>1.0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23" t="s">
        <v>182</v>
      </c>
      <c r="C135" s="32">
        <v>29195.46</v>
      </c>
      <c r="D135" s="26">
        <v>5246.932</v>
      </c>
      <c r="E135" s="33">
        <v>0.17971739441680315</v>
      </c>
      <c r="F135" s="27">
        <v>0.05</v>
      </c>
      <c r="G135" s="34">
        <v>1.0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23" t="s">
        <v>183</v>
      </c>
      <c r="C136" s="32">
        <v>5676.72</v>
      </c>
      <c r="D136" s="26">
        <v>1016.68</v>
      </c>
      <c r="E136" s="33">
        <v>0.17909637959948702</v>
      </c>
      <c r="F136" s="27">
        <v>0.05</v>
      </c>
      <c r="G136" s="34">
        <v>1.0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23" t="s">
        <v>184</v>
      </c>
      <c r="C137" s="32">
        <v>28102.3535</v>
      </c>
      <c r="D137" s="26">
        <v>5025.5895</v>
      </c>
      <c r="E137" s="33">
        <v>0.1788316234795068</v>
      </c>
      <c r="F137" s="27">
        <v>0.05</v>
      </c>
      <c r="G137" s="34">
        <v>1.0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23" t="s">
        <v>185</v>
      </c>
      <c r="C138" s="32">
        <v>12676.6845</v>
      </c>
      <c r="D138" s="26">
        <v>2258.779</v>
      </c>
      <c r="E138" s="33">
        <v>0.17818373566053491</v>
      </c>
      <c r="F138" s="27">
        <v>0.05</v>
      </c>
      <c r="G138" s="34">
        <v>1.0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23" t="s">
        <v>186</v>
      </c>
      <c r="C139" s="32">
        <v>15015.4815</v>
      </c>
      <c r="D139" s="26">
        <v>2666.8596</v>
      </c>
      <c r="E139" s="33">
        <v>0.1776073314731865</v>
      </c>
      <c r="F139" s="27">
        <v>0.05</v>
      </c>
      <c r="G139" s="34">
        <v>1.0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23" t="s">
        <v>187</v>
      </c>
      <c r="C140" s="32">
        <v>4607.9425</v>
      </c>
      <c r="D140" s="26">
        <v>817.445</v>
      </c>
      <c r="E140" s="33">
        <v>0.17739913204212077</v>
      </c>
      <c r="F140" s="27">
        <v>0.05</v>
      </c>
      <c r="G140" s="34">
        <v>1.0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23" t="s">
        <v>188</v>
      </c>
      <c r="C141" s="32">
        <v>33458.068</v>
      </c>
      <c r="D141" s="26">
        <v>5929.824</v>
      </c>
      <c r="E141" s="33">
        <v>0.17723151259062536</v>
      </c>
      <c r="F141" s="27">
        <v>0.05</v>
      </c>
      <c r="G141" s="34">
        <v>1.0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23" t="s">
        <v>189</v>
      </c>
      <c r="C142" s="32">
        <v>26364.885</v>
      </c>
      <c r="D142" s="26">
        <v>4654.161</v>
      </c>
      <c r="E142" s="33">
        <v>0.17652878061102867</v>
      </c>
      <c r="F142" s="27">
        <v>0.05</v>
      </c>
      <c r="G142" s="34">
        <v>1.0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23" t="s">
        <v>190</v>
      </c>
      <c r="C143" s="32">
        <v>1197.9</v>
      </c>
      <c r="D143" s="26">
        <v>210.7335</v>
      </c>
      <c r="E143" s="33">
        <v>0.17591910843976957</v>
      </c>
      <c r="F143" s="27">
        <v>0.05</v>
      </c>
      <c r="G143" s="34">
        <v>1.0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23" t="s">
        <v>191</v>
      </c>
      <c r="C144" s="32">
        <v>36074.179</v>
      </c>
      <c r="D144" s="26">
        <v>6335.5075</v>
      </c>
      <c r="E144" s="33">
        <v>0.1756244404065301</v>
      </c>
      <c r="F144" s="27">
        <v>0.05</v>
      </c>
      <c r="G144" s="34">
        <v>1.0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23" t="s">
        <v>192</v>
      </c>
      <c r="C145" s="32">
        <v>25624.7305</v>
      </c>
      <c r="D145" s="26">
        <v>4494.1995</v>
      </c>
      <c r="E145" s="33">
        <v>0.17538523966134978</v>
      </c>
      <c r="F145" s="27">
        <v>0.05</v>
      </c>
      <c r="G145" s="34">
        <v>1.0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23" t="s">
        <v>193</v>
      </c>
      <c r="C146" s="32">
        <v>56183.1305</v>
      </c>
      <c r="D146" s="26">
        <v>9815.6125</v>
      </c>
      <c r="E146" s="33">
        <v>0.1747074684633317</v>
      </c>
      <c r="F146" s="27">
        <v>0.05</v>
      </c>
      <c r="G146" s="34">
        <v>1.0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23" t="s">
        <v>194</v>
      </c>
      <c r="C147" s="32">
        <v>11955.971</v>
      </c>
      <c r="D147" s="26">
        <v>2085.861</v>
      </c>
      <c r="E147" s="33">
        <v>0.17446186512161999</v>
      </c>
      <c r="F147" s="27">
        <v>0.05</v>
      </c>
      <c r="G147" s="34">
        <v>1.0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23" t="s">
        <v>195</v>
      </c>
      <c r="C148" s="32">
        <v>14732.8045</v>
      </c>
      <c r="D148" s="26">
        <v>2567.6565</v>
      </c>
      <c r="E148" s="33">
        <v>0.1742815836591058</v>
      </c>
      <c r="F148" s="27">
        <v>0.05</v>
      </c>
      <c r="G148" s="34">
        <v>1.0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23" t="s">
        <v>196</v>
      </c>
      <c r="C149" s="32">
        <v>11429.126</v>
      </c>
      <c r="D149" s="26">
        <v>1987.8925</v>
      </c>
      <c r="E149" s="33">
        <v>0.17393215369224208</v>
      </c>
      <c r="F149" s="27">
        <v>0.05</v>
      </c>
      <c r="G149" s="34">
        <v>1.0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23" t="s">
        <v>197</v>
      </c>
      <c r="C150" s="32">
        <v>22.78</v>
      </c>
      <c r="D150" s="26">
        <v>3.96</v>
      </c>
      <c r="E150" s="33">
        <v>0.17383669885864791</v>
      </c>
      <c r="F150" s="27">
        <v>0.05</v>
      </c>
      <c r="G150" s="34">
        <v>1.0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23" t="s">
        <v>198</v>
      </c>
      <c r="C151" s="32">
        <v>15771.4525</v>
      </c>
      <c r="D151" s="26">
        <v>2724.517</v>
      </c>
      <c r="E151" s="33">
        <v>0.1727499100035333</v>
      </c>
      <c r="F151" s="27">
        <v>0.05</v>
      </c>
      <c r="G151" s="34">
        <v>1.0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23" t="s">
        <v>199</v>
      </c>
      <c r="C152" s="32">
        <v>88797.6175</v>
      </c>
      <c r="D152" s="26">
        <v>15106.434</v>
      </c>
      <c r="E152" s="33">
        <v>0.17012206436732383</v>
      </c>
      <c r="F152" s="27">
        <v>0.05</v>
      </c>
      <c r="G152" s="34">
        <v>1.0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23" t="s">
        <v>200</v>
      </c>
      <c r="C153" s="32">
        <v>15606.3875</v>
      </c>
      <c r="D153" s="26">
        <v>2627.379</v>
      </c>
      <c r="E153" s="33">
        <v>0.16835279785280224</v>
      </c>
      <c r="F153" s="27">
        <v>0.05</v>
      </c>
      <c r="G153" s="34">
        <v>1.0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23" t="s">
        <v>201</v>
      </c>
      <c r="C154" s="32">
        <v>11401.7875</v>
      </c>
      <c r="D154" s="26">
        <v>1897.68</v>
      </c>
      <c r="E154" s="33">
        <v>0.16643706085558954</v>
      </c>
      <c r="F154" s="27">
        <v>0.05</v>
      </c>
      <c r="G154" s="34">
        <v>1.0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3" t="s">
        <v>202</v>
      </c>
      <c r="C155" s="32">
        <v>21705.6365</v>
      </c>
      <c r="D155" s="26">
        <v>3604.227</v>
      </c>
      <c r="E155" s="33">
        <v>0.16605027915214557</v>
      </c>
      <c r="F155" s="27">
        <v>0.05</v>
      </c>
      <c r="G155" s="34">
        <v>1.0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23" t="s">
        <v>203</v>
      </c>
      <c r="C156" s="32">
        <v>5640.806</v>
      </c>
      <c r="D156" s="26">
        <v>930.9696</v>
      </c>
      <c r="E156" s="33">
        <v>0.16504194613322992</v>
      </c>
      <c r="F156" s="27">
        <v>0.05</v>
      </c>
      <c r="G156" s="34">
        <v>1.0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23" t="s">
        <v>204</v>
      </c>
      <c r="C157" s="32">
        <v>2099.67</v>
      </c>
      <c r="D157" s="26">
        <v>346.385</v>
      </c>
      <c r="E157" s="33">
        <v>0.16497116213500215</v>
      </c>
      <c r="F157" s="27">
        <v>0.05</v>
      </c>
      <c r="G157" s="34">
        <v>1.0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23" t="s">
        <v>205</v>
      </c>
      <c r="C158" s="32">
        <v>96481.799</v>
      </c>
      <c r="D158" s="26">
        <v>15887.1412</v>
      </c>
      <c r="E158" s="33">
        <v>0.16466464519385673</v>
      </c>
      <c r="F158" s="27">
        <v>0.05</v>
      </c>
      <c r="G158" s="34">
        <v>1.0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23" t="s">
        <v>206</v>
      </c>
      <c r="C159" s="32">
        <v>81641.379</v>
      </c>
      <c r="D159" s="26">
        <v>13421.6408</v>
      </c>
      <c r="E159" s="33">
        <v>0.16439752689625686</v>
      </c>
      <c r="F159" s="27">
        <v>0.05</v>
      </c>
      <c r="G159" s="34">
        <v>1.0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23" t="s">
        <v>207</v>
      </c>
      <c r="C160" s="32">
        <v>6889.54</v>
      </c>
      <c r="D160" s="26">
        <v>1126.05</v>
      </c>
      <c r="E160" s="33">
        <v>0.163443422928091</v>
      </c>
      <c r="F160" s="27">
        <v>0.05</v>
      </c>
      <c r="G160" s="34">
        <v>1.0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3" t="s">
        <v>208</v>
      </c>
      <c r="C161" s="32">
        <v>16698.471</v>
      </c>
      <c r="D161" s="26">
        <v>2705.814</v>
      </c>
      <c r="E161" s="33">
        <v>0.16203962626278776</v>
      </c>
      <c r="F161" s="27">
        <v>0.05</v>
      </c>
      <c r="G161" s="34">
        <v>1.0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23" t="s">
        <v>209</v>
      </c>
      <c r="C162" s="32">
        <v>66360.847</v>
      </c>
      <c r="D162" s="26">
        <v>10696.4014</v>
      </c>
      <c r="E162" s="33">
        <v>0.16118542609921782</v>
      </c>
      <c r="F162" s="27">
        <v>0.05</v>
      </c>
      <c r="G162" s="34">
        <v>1.0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23" t="s">
        <v>210</v>
      </c>
      <c r="C163" s="32">
        <v>20547.818</v>
      </c>
      <c r="D163" s="26">
        <v>3308.0655</v>
      </c>
      <c r="E163" s="33">
        <v>0.16099351765720332</v>
      </c>
      <c r="F163" s="27">
        <v>0.05</v>
      </c>
      <c r="G163" s="34">
        <v>1.0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23" t="s">
        <v>211</v>
      </c>
      <c r="C164" s="32">
        <v>9253.349</v>
      </c>
      <c r="D164" s="26">
        <v>1473.4515</v>
      </c>
      <c r="E164" s="33">
        <v>0.15923440259305036</v>
      </c>
      <c r="F164" s="27">
        <v>0.05</v>
      </c>
      <c r="G164" s="34">
        <v>1.0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23" t="s">
        <v>212</v>
      </c>
      <c r="C165" s="32">
        <v>21329.31</v>
      </c>
      <c r="D165" s="26">
        <v>3383.0402</v>
      </c>
      <c r="E165" s="33">
        <v>0.1586099222150177</v>
      </c>
      <c r="F165" s="27">
        <v>0.05</v>
      </c>
      <c r="G165" s="34">
        <v>1.0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23" t="s">
        <v>213</v>
      </c>
      <c r="C166" s="32">
        <v>275.16</v>
      </c>
      <c r="D166" s="26">
        <v>43.35</v>
      </c>
      <c r="E166" s="33">
        <v>0.1575447012647187</v>
      </c>
      <c r="F166" s="27">
        <v>0.05</v>
      </c>
      <c r="G166" s="34">
        <v>1.0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23" t="s">
        <v>214</v>
      </c>
      <c r="C167" s="32">
        <v>44996.4415</v>
      </c>
      <c r="D167" s="26">
        <v>7085.6709</v>
      </c>
      <c r="E167" s="33">
        <v>0.1574718058538029</v>
      </c>
      <c r="F167" s="27">
        <v>0.05</v>
      </c>
      <c r="G167" s="34">
        <v>1.0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23" t="s">
        <v>215</v>
      </c>
      <c r="C168" s="32">
        <v>319191.7925</v>
      </c>
      <c r="D168" s="26">
        <v>50208.5413</v>
      </c>
      <c r="E168" s="33">
        <v>0.1572989734690625</v>
      </c>
      <c r="F168" s="27">
        <v>0.05</v>
      </c>
      <c r="G168" s="34">
        <v>1.0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23" t="s">
        <v>216</v>
      </c>
      <c r="C169" s="32">
        <v>37255.263</v>
      </c>
      <c r="D169" s="26">
        <v>5847.1785</v>
      </c>
      <c r="E169" s="33">
        <v>0.1569490597878748</v>
      </c>
      <c r="F169" s="27">
        <v>0.05</v>
      </c>
      <c r="G169" s="34">
        <v>1.0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23" t="s">
        <v>217</v>
      </c>
      <c r="C170" s="32">
        <v>32299.8115</v>
      </c>
      <c r="D170" s="26">
        <v>5062.429</v>
      </c>
      <c r="E170" s="33">
        <v>0.1567324626646815</v>
      </c>
      <c r="F170" s="27">
        <v>0.05</v>
      </c>
      <c r="G170" s="34">
        <v>1.0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23" t="s">
        <v>218</v>
      </c>
      <c r="C171" s="32">
        <v>7974.66</v>
      </c>
      <c r="D171" s="26">
        <v>1232.86</v>
      </c>
      <c r="E171" s="33">
        <v>0.15459718658851912</v>
      </c>
      <c r="F171" s="27">
        <v>0.05</v>
      </c>
      <c r="G171" s="34">
        <v>1.0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23" t="s">
        <v>219</v>
      </c>
      <c r="C172" s="32">
        <v>85741.7225</v>
      </c>
      <c r="D172" s="26">
        <v>13215.2187</v>
      </c>
      <c r="E172" s="33">
        <v>0.1541282157003552</v>
      </c>
      <c r="F172" s="27">
        <v>0.05</v>
      </c>
      <c r="G172" s="34">
        <v>1.0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23" t="s">
        <v>220</v>
      </c>
      <c r="C173" s="32">
        <v>20855.17</v>
      </c>
      <c r="D173" s="26">
        <v>3206.143</v>
      </c>
      <c r="E173" s="33">
        <v>0.15373372645727656</v>
      </c>
      <c r="F173" s="27">
        <v>0.05</v>
      </c>
      <c r="G173" s="34">
        <v>1.0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23" t="s">
        <v>221</v>
      </c>
      <c r="C174" s="32">
        <v>4757.26</v>
      </c>
      <c r="D174" s="26">
        <v>729.95</v>
      </c>
      <c r="E174" s="33">
        <v>0.15343916456111292</v>
      </c>
      <c r="F174" s="27">
        <v>0.05</v>
      </c>
      <c r="G174" s="34">
        <v>1.0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23" t="s">
        <v>222</v>
      </c>
      <c r="C175" s="32">
        <v>134485.2585</v>
      </c>
      <c r="D175" s="26">
        <v>20377.0742</v>
      </c>
      <c r="E175" s="33">
        <v>0.1515190172311711</v>
      </c>
      <c r="F175" s="27">
        <v>0.05</v>
      </c>
      <c r="G175" s="34">
        <v>1.0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23" t="s">
        <v>223</v>
      </c>
      <c r="C176" s="32">
        <v>2200.47</v>
      </c>
      <c r="D176" s="26">
        <v>333.07</v>
      </c>
      <c r="E176" s="33">
        <v>0.15136311787936216</v>
      </c>
      <c r="F176" s="27">
        <v>0.05</v>
      </c>
      <c r="G176" s="34">
        <v>1.0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23" t="s">
        <v>224</v>
      </c>
      <c r="C177" s="32">
        <v>79793.5145</v>
      </c>
      <c r="D177" s="26">
        <v>12021.5875</v>
      </c>
      <c r="E177" s="33">
        <v>0.15065870422338645</v>
      </c>
      <c r="F177" s="27">
        <v>0.05</v>
      </c>
      <c r="G177" s="34">
        <v>1.0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23" t="s">
        <v>225</v>
      </c>
      <c r="C178" s="32">
        <v>26423.558</v>
      </c>
      <c r="D178" s="26">
        <v>3969.8621</v>
      </c>
      <c r="E178" s="33">
        <v>0.15023949840517312</v>
      </c>
      <c r="F178" s="27">
        <v>0.05</v>
      </c>
      <c r="G178" s="34">
        <v>1.0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23" t="s">
        <v>226</v>
      </c>
      <c r="C179" s="32">
        <v>1486.86</v>
      </c>
      <c r="D179" s="26">
        <v>223.07</v>
      </c>
      <c r="E179" s="33">
        <v>0.15002757488936416</v>
      </c>
      <c r="F179" s="27">
        <v>0.05</v>
      </c>
      <c r="G179" s="34">
        <v>1.0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23" t="s">
        <v>227</v>
      </c>
      <c r="C180" s="32">
        <v>21674.1425</v>
      </c>
      <c r="D180" s="26">
        <v>3247.787</v>
      </c>
      <c r="E180" s="33">
        <v>0.14984615885034436</v>
      </c>
      <c r="F180" s="27">
        <v>0.05</v>
      </c>
      <c r="G180" s="34">
        <v>1.0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23" t="s">
        <v>228</v>
      </c>
      <c r="C181" s="32">
        <v>80556.9725</v>
      </c>
      <c r="D181" s="26">
        <v>12062.4348</v>
      </c>
      <c r="E181" s="33">
        <v>0.1497379360923724</v>
      </c>
      <c r="F181" s="27">
        <v>0.05</v>
      </c>
      <c r="G181" s="34">
        <v>1.0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23" t="s">
        <v>229</v>
      </c>
      <c r="C182" s="32">
        <v>72668.4175</v>
      </c>
      <c r="D182" s="26">
        <v>10788.0715</v>
      </c>
      <c r="E182" s="33">
        <v>0.14845612263401775</v>
      </c>
      <c r="F182" s="27">
        <v>0.05</v>
      </c>
      <c r="G182" s="34">
        <v>1.0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23" t="s">
        <v>230</v>
      </c>
      <c r="C183" s="32">
        <v>41284.178</v>
      </c>
      <c r="D183" s="26">
        <v>6054.652</v>
      </c>
      <c r="E183" s="33">
        <v>0.1466579278870467</v>
      </c>
      <c r="F183" s="27">
        <v>0.05</v>
      </c>
      <c r="G183" s="34">
        <v>1.0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23" t="s">
        <v>231</v>
      </c>
      <c r="C184" s="32">
        <v>74980.2125</v>
      </c>
      <c r="D184" s="26">
        <v>10927.962</v>
      </c>
      <c r="E184" s="33">
        <v>0.14574461228687502</v>
      </c>
      <c r="F184" s="27">
        <v>0.05</v>
      </c>
      <c r="G184" s="34">
        <v>1.0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23" t="s">
        <v>232</v>
      </c>
      <c r="C185" s="32">
        <v>19117.62</v>
      </c>
      <c r="D185" s="26">
        <v>2760.274</v>
      </c>
      <c r="E185" s="33">
        <v>0.14438376743548623</v>
      </c>
      <c r="F185" s="27">
        <v>0.05</v>
      </c>
      <c r="G185" s="34">
        <v>1.0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23" t="s">
        <v>233</v>
      </c>
      <c r="C186" s="32">
        <v>44055.6305</v>
      </c>
      <c r="D186" s="26">
        <v>6311.7827</v>
      </c>
      <c r="E186" s="33">
        <v>0.14326846826082765</v>
      </c>
      <c r="F186" s="27">
        <v>0.05</v>
      </c>
      <c r="G186" s="34">
        <v>1.0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23" t="s">
        <v>234</v>
      </c>
      <c r="C187" s="32">
        <v>33395.963</v>
      </c>
      <c r="D187" s="26">
        <v>4735.6973</v>
      </c>
      <c r="E187" s="33">
        <v>0.14180448397310774</v>
      </c>
      <c r="F187" s="27">
        <v>0.05</v>
      </c>
      <c r="G187" s="34">
        <v>1.0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23" t="s">
        <v>235</v>
      </c>
      <c r="C188" s="32">
        <v>1276.92</v>
      </c>
      <c r="D188" s="26">
        <v>180.13</v>
      </c>
      <c r="E188" s="33">
        <v>0.14106600256868088</v>
      </c>
      <c r="F188" s="27">
        <v>0.05</v>
      </c>
      <c r="G188" s="34">
        <v>1.0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3" t="s">
        <v>236</v>
      </c>
      <c r="C189" s="32">
        <v>35332.8725</v>
      </c>
      <c r="D189" s="26">
        <v>4970.5536</v>
      </c>
      <c r="E189" s="33">
        <v>0.1406778800676339</v>
      </c>
      <c r="F189" s="27">
        <v>0.05</v>
      </c>
      <c r="G189" s="34">
        <v>1.0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3" t="s">
        <v>237</v>
      </c>
      <c r="C190" s="32">
        <v>27778.5595</v>
      </c>
      <c r="D190" s="26">
        <v>3895.5788</v>
      </c>
      <c r="E190" s="33">
        <v>0.14023689025343447</v>
      </c>
      <c r="F190" s="27">
        <v>0.05</v>
      </c>
      <c r="G190" s="34">
        <v>1.0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23" t="s">
        <v>238</v>
      </c>
      <c r="C191" s="32">
        <v>27069.3</v>
      </c>
      <c r="D191" s="26">
        <v>3764.4375</v>
      </c>
      <c r="E191" s="33">
        <v>0.13906667331626604</v>
      </c>
      <c r="F191" s="27">
        <v>0.05</v>
      </c>
      <c r="G191" s="34">
        <v>1.0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23" t="s">
        <v>239</v>
      </c>
      <c r="C192" s="32">
        <v>18940.96</v>
      </c>
      <c r="D192" s="26">
        <v>2628.888</v>
      </c>
      <c r="E192" s="33">
        <v>0.13879380981745382</v>
      </c>
      <c r="F192" s="27">
        <v>0.05</v>
      </c>
      <c r="G192" s="34">
        <v>1.0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23" t="s">
        <v>240</v>
      </c>
      <c r="C193" s="32">
        <v>36944.655</v>
      </c>
      <c r="D193" s="26">
        <v>5125.0843</v>
      </c>
      <c r="E193" s="33">
        <v>0.13872329569730724</v>
      </c>
      <c r="F193" s="27">
        <v>0.05</v>
      </c>
      <c r="G193" s="34">
        <v>1.0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23" t="s">
        <v>241</v>
      </c>
      <c r="C194" s="32">
        <v>12169.88</v>
      </c>
      <c r="D194" s="26">
        <v>1683.77</v>
      </c>
      <c r="E194" s="33">
        <v>0.13835551377663544</v>
      </c>
      <c r="F194" s="27">
        <v>0.05</v>
      </c>
      <c r="G194" s="34">
        <v>1.0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23" t="s">
        <v>242</v>
      </c>
      <c r="C195" s="32">
        <v>30522.95</v>
      </c>
      <c r="D195" s="26">
        <v>4209.0955</v>
      </c>
      <c r="E195" s="33">
        <v>0.13789936752509177</v>
      </c>
      <c r="F195" s="27">
        <v>0.05</v>
      </c>
      <c r="G195" s="34">
        <v>1.0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23" t="s">
        <v>243</v>
      </c>
      <c r="C196" s="32">
        <v>11469.775</v>
      </c>
      <c r="D196" s="26">
        <v>1571.087</v>
      </c>
      <c r="E196" s="33">
        <v>0.13697627024069783</v>
      </c>
      <c r="F196" s="27">
        <v>0.05</v>
      </c>
      <c r="G196" s="34">
        <v>1.0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23" t="s">
        <v>244</v>
      </c>
      <c r="C197" s="32">
        <v>62716.243</v>
      </c>
      <c r="D197" s="26">
        <v>8477.4255</v>
      </c>
      <c r="E197" s="33">
        <v>0.13517113102581732</v>
      </c>
      <c r="F197" s="27">
        <v>0.05</v>
      </c>
      <c r="G197" s="34">
        <v>1.0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3" t="s">
        <v>245</v>
      </c>
      <c r="C198" s="32">
        <v>17754.4485</v>
      </c>
      <c r="D198" s="26">
        <v>2391.235</v>
      </c>
      <c r="E198" s="33">
        <v>0.13468371039517224</v>
      </c>
      <c r="F198" s="27">
        <v>0.05</v>
      </c>
      <c r="G198" s="34">
        <v>1.0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23" t="s">
        <v>246</v>
      </c>
      <c r="C199" s="32">
        <v>276181.7855</v>
      </c>
      <c r="D199" s="26">
        <v>37027.718</v>
      </c>
      <c r="E199" s="33">
        <v>0.1340700942061221</v>
      </c>
      <c r="F199" s="27">
        <v>0.05</v>
      </c>
      <c r="G199" s="34">
        <v>1.0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23" t="s">
        <v>247</v>
      </c>
      <c r="C200" s="32">
        <v>30097.0105</v>
      </c>
      <c r="D200" s="26">
        <v>4033.862</v>
      </c>
      <c r="E200" s="33">
        <v>0.1340286604212734</v>
      </c>
      <c r="F200" s="27">
        <v>0.05</v>
      </c>
      <c r="G200" s="34">
        <v>1.0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23" t="s">
        <v>248</v>
      </c>
      <c r="C201" s="32">
        <v>23934.863</v>
      </c>
      <c r="D201" s="26">
        <v>3174.5679</v>
      </c>
      <c r="E201" s="33">
        <v>0.13263363571372855</v>
      </c>
      <c r="F201" s="27">
        <v>0.05</v>
      </c>
      <c r="G201" s="34">
        <v>1.0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3" t="s">
        <v>249</v>
      </c>
      <c r="C202" s="32">
        <v>615.3</v>
      </c>
      <c r="D202" s="26">
        <v>80.99</v>
      </c>
      <c r="E202" s="33">
        <v>0.1316268486916951</v>
      </c>
      <c r="F202" s="27">
        <v>0.05</v>
      </c>
      <c r="G202" s="34">
        <v>1.0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3" t="s">
        <v>250</v>
      </c>
      <c r="C203" s="32">
        <v>59897.066</v>
      </c>
      <c r="D203" s="26">
        <v>7724.4395</v>
      </c>
      <c r="E203" s="33">
        <v>0.12896190107208258</v>
      </c>
      <c r="F203" s="27">
        <v>0.05</v>
      </c>
      <c r="G203" s="34">
        <v>1.0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23" t="s">
        <v>251</v>
      </c>
      <c r="C204" s="32">
        <v>32645.3975</v>
      </c>
      <c r="D204" s="26">
        <v>4203.6575</v>
      </c>
      <c r="E204" s="33">
        <v>0.1287672328082389</v>
      </c>
      <c r="F204" s="27">
        <v>0.05</v>
      </c>
      <c r="G204" s="34">
        <v>1.0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23" t="s">
        <v>252</v>
      </c>
      <c r="C205" s="32">
        <v>10956.6875</v>
      </c>
      <c r="D205" s="26">
        <v>1402.297</v>
      </c>
      <c r="E205" s="33">
        <v>0.12798548831478493</v>
      </c>
      <c r="F205" s="27">
        <v>0.05</v>
      </c>
      <c r="G205" s="34">
        <v>1.0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23" t="s">
        <v>253</v>
      </c>
      <c r="C206" s="32">
        <v>14123.658</v>
      </c>
      <c r="D206" s="26">
        <v>1793.6648</v>
      </c>
      <c r="E206" s="33">
        <v>0.12699718444046154</v>
      </c>
      <c r="F206" s="27">
        <v>0.05</v>
      </c>
      <c r="G206" s="34">
        <v>1.0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23" t="s">
        <v>254</v>
      </c>
      <c r="C207" s="32">
        <v>35027.198</v>
      </c>
      <c r="D207" s="26">
        <v>4436.9015</v>
      </c>
      <c r="E207" s="33">
        <v>0.12667018069786798</v>
      </c>
      <c r="F207" s="27">
        <v>0.05</v>
      </c>
      <c r="G207" s="34">
        <v>1.0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3" t="s">
        <v>255</v>
      </c>
      <c r="C208" s="32">
        <v>112076.999</v>
      </c>
      <c r="D208" s="26">
        <v>14176.7187</v>
      </c>
      <c r="E208" s="33">
        <v>0.1264908841822219</v>
      </c>
      <c r="F208" s="27">
        <v>0.05</v>
      </c>
      <c r="G208" s="34">
        <v>1.0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23" t="s">
        <v>256</v>
      </c>
      <c r="C209" s="32">
        <v>20669.7475</v>
      </c>
      <c r="D209" s="26">
        <v>2603.4325</v>
      </c>
      <c r="E209" s="33">
        <v>0.12595376406992875</v>
      </c>
      <c r="F209" s="27">
        <v>0.05</v>
      </c>
      <c r="G209" s="34">
        <v>1.0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23" t="s">
        <v>257</v>
      </c>
      <c r="C210" s="32">
        <v>54609.3825</v>
      </c>
      <c r="D210" s="26">
        <v>6834.556</v>
      </c>
      <c r="E210" s="33">
        <v>0.12515351185302268</v>
      </c>
      <c r="F210" s="27">
        <v>0.05</v>
      </c>
      <c r="G210" s="34">
        <v>1.0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23" t="s">
        <v>258</v>
      </c>
      <c r="C211" s="32">
        <v>36332.268</v>
      </c>
      <c r="D211" s="26">
        <v>4539.6676</v>
      </c>
      <c r="E211" s="33">
        <v>0.12494864344829781</v>
      </c>
      <c r="F211" s="27">
        <v>0.05</v>
      </c>
      <c r="G211" s="34">
        <v>1.0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3" t="s">
        <v>259</v>
      </c>
      <c r="C212" s="32">
        <v>4671.22</v>
      </c>
      <c r="D212" s="26">
        <v>578.399</v>
      </c>
      <c r="E212" s="33">
        <v>0.1238218281305526</v>
      </c>
      <c r="F212" s="27">
        <v>0.05</v>
      </c>
      <c r="G212" s="34">
        <v>1.0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23" t="s">
        <v>260</v>
      </c>
      <c r="C213" s="32">
        <v>6163.52</v>
      </c>
      <c r="D213" s="26">
        <v>755.95</v>
      </c>
      <c r="E213" s="33">
        <v>0.12264907066092103</v>
      </c>
      <c r="F213" s="27">
        <v>0.05</v>
      </c>
      <c r="G213" s="34">
        <v>1.0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23" t="s">
        <v>261</v>
      </c>
      <c r="C214" s="32">
        <v>120542.5245</v>
      </c>
      <c r="D214" s="26">
        <v>14772.2326</v>
      </c>
      <c r="E214" s="33">
        <v>0.12254789470582225</v>
      </c>
      <c r="F214" s="27">
        <v>0.05</v>
      </c>
      <c r="G214" s="34">
        <v>1.0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23" t="s">
        <v>262</v>
      </c>
      <c r="C215" s="32">
        <v>19653.527</v>
      </c>
      <c r="D215" s="26">
        <v>2407.441</v>
      </c>
      <c r="E215" s="33">
        <v>0.12249409482582949</v>
      </c>
      <c r="F215" s="27">
        <v>0.05</v>
      </c>
      <c r="G215" s="34">
        <v>1.0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23" t="s">
        <v>263</v>
      </c>
      <c r="C216" s="32">
        <v>9086.8745</v>
      </c>
      <c r="D216" s="26">
        <v>1107.137</v>
      </c>
      <c r="E216" s="33">
        <v>0.12183914282077957</v>
      </c>
      <c r="F216" s="27">
        <v>0.05</v>
      </c>
      <c r="G216" s="34">
        <v>1.0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23" t="s">
        <v>264</v>
      </c>
      <c r="C217" s="32">
        <v>26221.429</v>
      </c>
      <c r="D217" s="26">
        <v>3162.0075</v>
      </c>
      <c r="E217" s="33">
        <v>0.12058867958721854</v>
      </c>
      <c r="F217" s="27">
        <v>0.05</v>
      </c>
      <c r="G217" s="34">
        <v>1.0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23" t="s">
        <v>265</v>
      </c>
      <c r="C218" s="32">
        <v>385506.6385</v>
      </c>
      <c r="D218" s="26">
        <v>45523.6913</v>
      </c>
      <c r="E218" s="33">
        <v>0.11808795686925634</v>
      </c>
      <c r="F218" s="27">
        <v>0.05</v>
      </c>
      <c r="G218" s="34">
        <v>1.0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3" t="s">
        <v>266</v>
      </c>
      <c r="C219" s="32">
        <v>22352.957</v>
      </c>
      <c r="D219" s="26">
        <v>2628.272</v>
      </c>
      <c r="E219" s="33">
        <v>0.11758050623906269</v>
      </c>
      <c r="F219" s="27">
        <v>0.05</v>
      </c>
      <c r="G219" s="34">
        <v>1.0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23" t="s">
        <v>267</v>
      </c>
      <c r="C220" s="32">
        <v>67422.135</v>
      </c>
      <c r="D220" s="26">
        <v>7900.401</v>
      </c>
      <c r="E220" s="33">
        <v>0.11717814928287276</v>
      </c>
      <c r="F220" s="27">
        <v>0.05</v>
      </c>
      <c r="G220" s="34">
        <v>1.0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23" t="s">
        <v>268</v>
      </c>
      <c r="C221" s="32">
        <v>17516.612</v>
      </c>
      <c r="D221" s="26">
        <v>2052.13</v>
      </c>
      <c r="E221" s="33">
        <v>0.11715336276215971</v>
      </c>
      <c r="F221" s="27">
        <v>0.05</v>
      </c>
      <c r="G221" s="34">
        <v>1.0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23" t="s">
        <v>269</v>
      </c>
      <c r="C222" s="32">
        <v>22865.49</v>
      </c>
      <c r="D222" s="26">
        <v>2665.6835</v>
      </c>
      <c r="E222" s="33">
        <v>0.11658107917214981</v>
      </c>
      <c r="F222" s="27">
        <v>0.05</v>
      </c>
      <c r="G222" s="34">
        <v>1.0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23" t="s">
        <v>270</v>
      </c>
      <c r="C223" s="32">
        <v>13981.373</v>
      </c>
      <c r="D223" s="26">
        <v>1598.2055</v>
      </c>
      <c r="E223" s="33">
        <v>0.11430962466990903</v>
      </c>
      <c r="F223" s="27">
        <v>0.05</v>
      </c>
      <c r="G223" s="34">
        <v>1.0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23" t="s">
        <v>271</v>
      </c>
      <c r="C224" s="32">
        <v>80777.8095</v>
      </c>
      <c r="D224" s="26">
        <v>9196.4115</v>
      </c>
      <c r="E224" s="33">
        <v>0.11384824071021633</v>
      </c>
      <c r="F224" s="27">
        <v>0.05</v>
      </c>
      <c r="G224" s="34">
        <v>1.0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23" t="s">
        <v>272</v>
      </c>
      <c r="C225" s="32">
        <v>44516.638</v>
      </c>
      <c r="D225" s="26">
        <v>4991.6226</v>
      </c>
      <c r="E225" s="33">
        <v>0.11212937059622516</v>
      </c>
      <c r="F225" s="27">
        <v>0.05</v>
      </c>
      <c r="G225" s="34">
        <v>1.0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23" t="s">
        <v>273</v>
      </c>
      <c r="C226" s="32">
        <v>29465.887</v>
      </c>
      <c r="D226" s="26">
        <v>3302.7505</v>
      </c>
      <c r="E226" s="33">
        <v>0.11208725873414231</v>
      </c>
      <c r="F226" s="27">
        <v>0.05</v>
      </c>
      <c r="G226" s="34">
        <v>1.0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23" t="s">
        <v>274</v>
      </c>
      <c r="C227" s="32">
        <v>10021.917</v>
      </c>
      <c r="D227" s="26">
        <v>1118.2565</v>
      </c>
      <c r="E227" s="33">
        <v>0.11158109770815304</v>
      </c>
      <c r="F227" s="27">
        <v>0.05</v>
      </c>
      <c r="G227" s="34">
        <v>1.0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23" t="s">
        <v>275</v>
      </c>
      <c r="C228" s="32">
        <v>78295.214</v>
      </c>
      <c r="D228" s="26">
        <v>8669.4618</v>
      </c>
      <c r="E228" s="33">
        <v>0.1107278639023836</v>
      </c>
      <c r="F228" s="27">
        <v>0.05</v>
      </c>
      <c r="G228" s="34">
        <v>1.0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23" t="s">
        <v>276</v>
      </c>
      <c r="C229" s="32">
        <v>1619.61</v>
      </c>
      <c r="D229" s="26">
        <v>179.1115</v>
      </c>
      <c r="E229" s="33">
        <v>0.11058927766561087</v>
      </c>
      <c r="F229" s="27">
        <v>0.05</v>
      </c>
      <c r="G229" s="34">
        <v>1.0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23" t="s">
        <v>277</v>
      </c>
      <c r="C230" s="32">
        <v>44227.0015</v>
      </c>
      <c r="D230" s="26">
        <v>4847.8968</v>
      </c>
      <c r="E230" s="33">
        <v>0.10961396060277794</v>
      </c>
      <c r="F230" s="27">
        <v>0.05</v>
      </c>
      <c r="G230" s="34">
        <v>1.0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23" t="s">
        <v>278</v>
      </c>
      <c r="C231" s="32">
        <v>6315.33</v>
      </c>
      <c r="D231" s="26">
        <v>685.9505</v>
      </c>
      <c r="E231" s="33">
        <v>0.10861673103384939</v>
      </c>
      <c r="F231" s="27">
        <v>0.05</v>
      </c>
      <c r="G231" s="34">
        <v>1.0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23" t="s">
        <v>279</v>
      </c>
      <c r="C232" s="32">
        <v>12911.855</v>
      </c>
      <c r="D232" s="26">
        <v>1400.6515</v>
      </c>
      <c r="E232" s="33">
        <v>0.10847794526812762</v>
      </c>
      <c r="F232" s="27">
        <v>0.05</v>
      </c>
      <c r="G232" s="34">
        <v>1.0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23" t="s">
        <v>280</v>
      </c>
      <c r="C233" s="32">
        <v>53247.61</v>
      </c>
      <c r="D233" s="26">
        <v>5771.574</v>
      </c>
      <c r="E233" s="33">
        <v>0.10839123108060623</v>
      </c>
      <c r="F233" s="27">
        <v>0.05</v>
      </c>
      <c r="G233" s="34">
        <v>1.0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23" t="s">
        <v>281</v>
      </c>
      <c r="C234" s="32">
        <v>19881.5735</v>
      </c>
      <c r="D234" s="26">
        <v>2142.8261</v>
      </c>
      <c r="E234" s="33">
        <v>0.1077795024624183</v>
      </c>
      <c r="F234" s="27">
        <v>0.05</v>
      </c>
      <c r="G234" s="34">
        <v>1.0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23" t="s">
        <v>282</v>
      </c>
      <c r="C235" s="32">
        <v>15006.4295</v>
      </c>
      <c r="D235" s="26">
        <v>1597.2833</v>
      </c>
      <c r="E235" s="33">
        <v>0.10643992963149562</v>
      </c>
      <c r="F235" s="27">
        <v>0.05</v>
      </c>
      <c r="G235" s="34">
        <v>1.0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23" t="s">
        <v>283</v>
      </c>
      <c r="C236" s="32">
        <v>40924.772</v>
      </c>
      <c r="D236" s="26">
        <v>4352.5425</v>
      </c>
      <c r="E236" s="33">
        <v>0.10635471591631591</v>
      </c>
      <c r="F236" s="27">
        <v>0.05</v>
      </c>
      <c r="G236" s="34">
        <v>1.0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23" t="s">
        <v>284</v>
      </c>
      <c r="C237" s="32">
        <v>31735.151</v>
      </c>
      <c r="D237" s="26">
        <v>3366.2483</v>
      </c>
      <c r="E237" s="33">
        <v>0.10607317734205834</v>
      </c>
      <c r="F237" s="27">
        <v>0.05</v>
      </c>
      <c r="G237" s="34">
        <v>1.0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23" t="s">
        <v>285</v>
      </c>
      <c r="C238" s="32">
        <v>47572.2665</v>
      </c>
      <c r="D238" s="26">
        <v>5014.2169</v>
      </c>
      <c r="E238" s="33">
        <v>0.10540210229420119</v>
      </c>
      <c r="F238" s="27">
        <v>0.05</v>
      </c>
      <c r="G238" s="34">
        <v>1.0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23" t="s">
        <v>286</v>
      </c>
      <c r="C239" s="32">
        <v>60282.5375</v>
      </c>
      <c r="D239" s="26">
        <v>6276.2106</v>
      </c>
      <c r="E239" s="33">
        <v>0.10411324506703123</v>
      </c>
      <c r="F239" s="27">
        <v>0.05</v>
      </c>
      <c r="G239" s="34">
        <v>1.0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23" t="s">
        <v>287</v>
      </c>
      <c r="C240" s="32">
        <v>16754.6895</v>
      </c>
      <c r="D240" s="26">
        <v>1718.4545</v>
      </c>
      <c r="E240" s="33">
        <v>0.10256558320582426</v>
      </c>
      <c r="F240" s="27">
        <v>0.05</v>
      </c>
      <c r="G240" s="34">
        <v>1.0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23" t="s">
        <v>288</v>
      </c>
      <c r="C241" s="32">
        <v>48179.7905</v>
      </c>
      <c r="D241" s="26">
        <v>4900.7195</v>
      </c>
      <c r="E241" s="33">
        <v>0.10171732689456173</v>
      </c>
      <c r="F241" s="27">
        <v>0.05</v>
      </c>
      <c r="G241" s="34">
        <v>1.0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23" t="s">
        <v>289</v>
      </c>
      <c r="C242" s="32">
        <v>26641.4355</v>
      </c>
      <c r="D242" s="26">
        <v>2674.3214</v>
      </c>
      <c r="E242" s="33">
        <v>0.10038203084064294</v>
      </c>
      <c r="F242" s="27">
        <v>0.05</v>
      </c>
      <c r="G242" s="34">
        <v>1.0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23" t="s">
        <v>290</v>
      </c>
      <c r="C243" s="32">
        <v>17148.51</v>
      </c>
      <c r="D243" s="26">
        <v>1693.701</v>
      </c>
      <c r="E243" s="33">
        <v>0.09876665669495485</v>
      </c>
      <c r="F243" s="27">
        <v>0.05</v>
      </c>
      <c r="G243" s="34">
        <v>1.0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23" t="s">
        <v>291</v>
      </c>
      <c r="C244" s="32">
        <v>45104.151</v>
      </c>
      <c r="D244" s="26">
        <v>4425.6562</v>
      </c>
      <c r="E244" s="33">
        <v>0.09812081819254287</v>
      </c>
      <c r="F244" s="27">
        <v>0.05</v>
      </c>
      <c r="G244" s="34">
        <v>1.0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23" t="s">
        <v>292</v>
      </c>
      <c r="C245" s="32">
        <v>32227.77</v>
      </c>
      <c r="D245" s="26">
        <v>3155.792</v>
      </c>
      <c r="E245" s="33">
        <v>0.09792151303053236</v>
      </c>
      <c r="F245" s="27">
        <v>0.05</v>
      </c>
      <c r="G245" s="34">
        <v>1.0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23" t="s">
        <v>293</v>
      </c>
      <c r="C246" s="32">
        <v>49189.19</v>
      </c>
      <c r="D246" s="26">
        <v>4803.1395</v>
      </c>
      <c r="E246" s="33">
        <v>0.09764624097286416</v>
      </c>
      <c r="F246" s="27">
        <v>0.05</v>
      </c>
      <c r="G246" s="34">
        <v>1.0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23" t="s">
        <v>294</v>
      </c>
      <c r="C247" s="32">
        <v>42047.2315</v>
      </c>
      <c r="D247" s="26">
        <v>4025.9416</v>
      </c>
      <c r="E247" s="33">
        <v>0.09574807796798702</v>
      </c>
      <c r="F247" s="27">
        <v>0.05</v>
      </c>
      <c r="G247" s="34">
        <v>1.0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23" t="s">
        <v>295</v>
      </c>
      <c r="C248" s="32">
        <v>20228.068</v>
      </c>
      <c r="D248" s="26">
        <v>1900.7791</v>
      </c>
      <c r="E248" s="33">
        <v>0.0939674070702155</v>
      </c>
      <c r="F248" s="27">
        <v>0.05</v>
      </c>
      <c r="G248" s="34">
        <v>1.0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23" t="s">
        <v>296</v>
      </c>
      <c r="C249" s="32">
        <v>918.39</v>
      </c>
      <c r="D249" s="26">
        <v>86.06</v>
      </c>
      <c r="E249" s="33">
        <v>0.09370746632694171</v>
      </c>
      <c r="F249" s="27">
        <v>0.05</v>
      </c>
      <c r="G249" s="34">
        <v>1.0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23" t="s">
        <v>297</v>
      </c>
      <c r="C250" s="32">
        <v>21347.3595</v>
      </c>
      <c r="D250" s="26">
        <v>1986.2661</v>
      </c>
      <c r="E250" s="33">
        <v>0.09304504849885534</v>
      </c>
      <c r="F250" s="27">
        <v>0.05</v>
      </c>
      <c r="G250" s="34">
        <v>1.0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23" t="s">
        <v>298</v>
      </c>
      <c r="C251" s="32">
        <v>76289.431</v>
      </c>
      <c r="D251" s="26">
        <v>7092.5466</v>
      </c>
      <c r="E251" s="33">
        <v>0.09296892776667845</v>
      </c>
      <c r="F251" s="27">
        <v>0.05</v>
      </c>
      <c r="G251" s="34">
        <v>1.0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23" t="s">
        <v>299</v>
      </c>
      <c r="C252" s="32">
        <v>74513.649</v>
      </c>
      <c r="D252" s="26">
        <v>6907.3102</v>
      </c>
      <c r="E252" s="33">
        <v>0.0926985900261038</v>
      </c>
      <c r="F252" s="27">
        <v>0.05</v>
      </c>
      <c r="G252" s="34">
        <v>1.0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23" t="s">
        <v>300</v>
      </c>
      <c r="C253" s="32">
        <v>39092.994</v>
      </c>
      <c r="D253" s="26">
        <v>3620.3239</v>
      </c>
      <c r="E253" s="33">
        <v>0.0926079977399531</v>
      </c>
      <c r="F253" s="27">
        <v>0.05</v>
      </c>
      <c r="G253" s="34">
        <v>1.0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23" t="s">
        <v>301</v>
      </c>
      <c r="C254" s="32">
        <v>12508.7055</v>
      </c>
      <c r="D254" s="26">
        <v>1157.938</v>
      </c>
      <c r="E254" s="33">
        <v>0.09257057015212326</v>
      </c>
      <c r="F254" s="27">
        <v>0.05</v>
      </c>
      <c r="G254" s="34">
        <v>1.0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23" t="s">
        <v>302</v>
      </c>
      <c r="C255" s="32">
        <v>13841.18</v>
      </c>
      <c r="D255" s="26">
        <v>1278.8455</v>
      </c>
      <c r="E255" s="33">
        <v>0.09239425395811628</v>
      </c>
      <c r="F255" s="27">
        <v>0.05</v>
      </c>
      <c r="G255" s="34">
        <v>1.0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23" t="s">
        <v>303</v>
      </c>
      <c r="C256" s="32">
        <v>57860.0635</v>
      </c>
      <c r="D256" s="26">
        <v>5276.7554</v>
      </c>
      <c r="E256" s="33">
        <v>0.09119857602645044</v>
      </c>
      <c r="F256" s="27">
        <v>0.05</v>
      </c>
      <c r="G256" s="34">
        <v>1.0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23" t="s">
        <v>304</v>
      </c>
      <c r="C257" s="32">
        <v>1306.15</v>
      </c>
      <c r="D257" s="26">
        <v>119.026</v>
      </c>
      <c r="E257" s="33">
        <v>0.0911273590322704</v>
      </c>
      <c r="F257" s="27">
        <v>0.05</v>
      </c>
      <c r="G257" s="34">
        <v>1.0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23" t="s">
        <v>305</v>
      </c>
      <c r="C258" s="32">
        <v>25261.231</v>
      </c>
      <c r="D258" s="26">
        <v>2266.104</v>
      </c>
      <c r="E258" s="33">
        <v>0.0897067921986858</v>
      </c>
      <c r="F258" s="27">
        <v>0.05</v>
      </c>
      <c r="G258" s="34">
        <v>1.0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23" t="s">
        <v>306</v>
      </c>
      <c r="C259" s="32">
        <v>12614.499</v>
      </c>
      <c r="D259" s="26">
        <v>1127.332</v>
      </c>
      <c r="E259" s="33">
        <v>0.08936795666637257</v>
      </c>
      <c r="F259" s="27">
        <v>0.05</v>
      </c>
      <c r="G259" s="34">
        <v>1.0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23" t="s">
        <v>307</v>
      </c>
      <c r="C260" s="32">
        <v>10440.3655</v>
      </c>
      <c r="D260" s="26">
        <v>925.1229</v>
      </c>
      <c r="E260" s="33">
        <v>0.08861020239186071</v>
      </c>
      <c r="F260" s="27">
        <v>0.05</v>
      </c>
      <c r="G260" s="34">
        <v>1.0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23" t="s">
        <v>308</v>
      </c>
      <c r="C261" s="32">
        <v>54343.352</v>
      </c>
      <c r="D261" s="26">
        <v>4811.9819</v>
      </c>
      <c r="E261" s="33">
        <v>0.08854775649466747</v>
      </c>
      <c r="F261" s="27">
        <v>0.05</v>
      </c>
      <c r="G261" s="34">
        <v>1.0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23" t="s">
        <v>309</v>
      </c>
      <c r="C262" s="32">
        <v>47411.89</v>
      </c>
      <c r="D262" s="26">
        <v>4194.971</v>
      </c>
      <c r="E262" s="33">
        <v>0.08847930339836695</v>
      </c>
      <c r="F262" s="27">
        <v>0.05</v>
      </c>
      <c r="G262" s="34">
        <v>1.0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23" t="s">
        <v>310</v>
      </c>
      <c r="C263" s="32">
        <v>39527.7275</v>
      </c>
      <c r="D263" s="26">
        <v>3497.118</v>
      </c>
      <c r="E263" s="33">
        <v>0.08847252855606232</v>
      </c>
      <c r="F263" s="27">
        <v>0.05</v>
      </c>
      <c r="G263" s="34">
        <v>1.0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23" t="s">
        <v>311</v>
      </c>
      <c r="C264" s="32">
        <v>48771.31</v>
      </c>
      <c r="D264" s="26">
        <v>4288.5583</v>
      </c>
      <c r="E264" s="33">
        <v>0.08793198911409186</v>
      </c>
      <c r="F264" s="27">
        <v>0.05</v>
      </c>
      <c r="G264" s="34">
        <v>1.0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23" t="s">
        <v>312</v>
      </c>
      <c r="C265" s="32">
        <v>9926.3635</v>
      </c>
      <c r="D265" s="26">
        <v>870.173</v>
      </c>
      <c r="E265" s="33">
        <v>0.08766281831206363</v>
      </c>
      <c r="F265" s="27">
        <v>0.05</v>
      </c>
      <c r="G265" s="34">
        <v>1.0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23" t="s">
        <v>313</v>
      </c>
      <c r="C266" s="32">
        <v>76725.673</v>
      </c>
      <c r="D266" s="26">
        <v>6725.517</v>
      </c>
      <c r="E266" s="33">
        <v>0.08765667001708803</v>
      </c>
      <c r="F266" s="27">
        <v>0.05</v>
      </c>
      <c r="G266" s="34">
        <v>1.0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23" t="s">
        <v>314</v>
      </c>
      <c r="C267" s="32">
        <v>93695.3515</v>
      </c>
      <c r="D267" s="26">
        <v>7962.1359</v>
      </c>
      <c r="E267" s="33">
        <v>0.08497898532351415</v>
      </c>
      <c r="F267" s="27">
        <v>0.05</v>
      </c>
      <c r="G267" s="34">
        <v>1.0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23" t="s">
        <v>315</v>
      </c>
      <c r="C268" s="32">
        <v>324376.865</v>
      </c>
      <c r="D268" s="26">
        <v>27558.7977</v>
      </c>
      <c r="E268" s="33">
        <v>0.08495919614982406</v>
      </c>
      <c r="F268" s="27">
        <v>0.05</v>
      </c>
      <c r="G268" s="34">
        <v>1.0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23" t="s">
        <v>316</v>
      </c>
      <c r="C269" s="32">
        <v>1130.806</v>
      </c>
      <c r="D269" s="26">
        <v>95.148</v>
      </c>
      <c r="E269" s="33">
        <v>0.08414175375793902</v>
      </c>
      <c r="F269" s="27">
        <v>0.05</v>
      </c>
      <c r="G269" s="34">
        <v>1.0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23" t="s">
        <v>317</v>
      </c>
      <c r="C270" s="32">
        <v>52024.697</v>
      </c>
      <c r="D270" s="26">
        <v>4293.9825</v>
      </c>
      <c r="E270" s="33">
        <v>0.08253738604186392</v>
      </c>
      <c r="F270" s="27">
        <v>0.05</v>
      </c>
      <c r="G270" s="34">
        <v>1.0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23" t="s">
        <v>318</v>
      </c>
      <c r="C271" s="32">
        <v>18017.249</v>
      </c>
      <c r="D271" s="26">
        <v>1468.3265</v>
      </c>
      <c r="E271" s="33">
        <v>0.08149559902291409</v>
      </c>
      <c r="F271" s="27">
        <v>0.05</v>
      </c>
      <c r="G271" s="34">
        <v>1.0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23" t="s">
        <v>319</v>
      </c>
      <c r="C272" s="32">
        <v>16269.646</v>
      </c>
      <c r="D272" s="26">
        <v>1302.89</v>
      </c>
      <c r="E272" s="33">
        <v>0.08008102942129165</v>
      </c>
      <c r="F272" s="27">
        <v>0.05</v>
      </c>
      <c r="G272" s="34">
        <v>1.0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23" t="s">
        <v>320</v>
      </c>
      <c r="C273" s="32">
        <v>61883.939</v>
      </c>
      <c r="D273" s="26">
        <v>4906.8885</v>
      </c>
      <c r="E273" s="33">
        <v>0.07929179330359046</v>
      </c>
      <c r="F273" s="27">
        <v>0.05</v>
      </c>
      <c r="G273" s="34">
        <v>1.0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23" t="s">
        <v>321</v>
      </c>
      <c r="C274" s="32">
        <v>27225.4155</v>
      </c>
      <c r="D274" s="26">
        <v>2155.7485</v>
      </c>
      <c r="E274" s="33">
        <v>0.07918147291452725</v>
      </c>
      <c r="F274" s="27">
        <v>0.05</v>
      </c>
      <c r="G274" s="34">
        <v>1.0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23" t="s">
        <v>322</v>
      </c>
      <c r="C275" s="32">
        <v>41147.5045</v>
      </c>
      <c r="D275" s="26">
        <v>3228.2225</v>
      </c>
      <c r="E275" s="33">
        <v>0.0784548793232406</v>
      </c>
      <c r="F275" s="27">
        <v>0.05</v>
      </c>
      <c r="G275" s="34">
        <v>1.0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23" t="s">
        <v>323</v>
      </c>
      <c r="C276" s="32">
        <v>144.91</v>
      </c>
      <c r="D276" s="26">
        <v>11.19</v>
      </c>
      <c r="E276" s="33">
        <v>0.07722034366158305</v>
      </c>
      <c r="F276" s="27">
        <v>0.05</v>
      </c>
      <c r="G276" s="34">
        <v>1.0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23" t="s">
        <v>324</v>
      </c>
      <c r="C277" s="32">
        <v>24293.417</v>
      </c>
      <c r="D277" s="26">
        <v>1870.165</v>
      </c>
      <c r="E277" s="33">
        <v>0.0769823775716689</v>
      </c>
      <c r="F277" s="27">
        <v>0.05</v>
      </c>
      <c r="G277" s="34">
        <v>1.0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23" t="s">
        <v>325</v>
      </c>
      <c r="C278" s="32">
        <v>2932.07</v>
      </c>
      <c r="D278" s="26">
        <v>223.2335</v>
      </c>
      <c r="E278" s="33">
        <v>0.0761351195571729</v>
      </c>
      <c r="F278" s="27">
        <v>0.05</v>
      </c>
      <c r="G278" s="34">
        <v>1.0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23" t="s">
        <v>326</v>
      </c>
      <c r="C279" s="32">
        <v>5607.25</v>
      </c>
      <c r="D279" s="26">
        <v>425.6151</v>
      </c>
      <c r="E279" s="33">
        <v>0.07590442730393686</v>
      </c>
      <c r="F279" s="27">
        <v>0.05</v>
      </c>
      <c r="G279" s="34">
        <v>1.0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23" t="s">
        <v>327</v>
      </c>
      <c r="C280" s="32">
        <v>5659.3105</v>
      </c>
      <c r="D280" s="26">
        <v>420.552</v>
      </c>
      <c r="E280" s="33">
        <v>0.07431152611258916</v>
      </c>
      <c r="F280" s="27">
        <v>0.05</v>
      </c>
      <c r="G280" s="34">
        <v>1.0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23" t="s">
        <v>328</v>
      </c>
      <c r="C281" s="32">
        <v>31901.6445</v>
      </c>
      <c r="D281" s="26">
        <v>2343.2045</v>
      </c>
      <c r="E281" s="33">
        <v>0.0734508999998417</v>
      </c>
      <c r="F281" s="27">
        <v>0.05</v>
      </c>
      <c r="G281" s="34">
        <v>1.0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23" t="s">
        <v>329</v>
      </c>
      <c r="C282" s="32">
        <v>346.87</v>
      </c>
      <c r="D282" s="26">
        <v>25.431</v>
      </c>
      <c r="E282" s="33">
        <v>0.0733156513967769</v>
      </c>
      <c r="F282" s="27">
        <v>0.05</v>
      </c>
      <c r="G282" s="34">
        <v>1.0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23" t="s">
        <v>330</v>
      </c>
      <c r="C283" s="32">
        <v>69746.4105</v>
      </c>
      <c r="D283" s="26">
        <v>5091.9575</v>
      </c>
      <c r="E283" s="33">
        <v>0.07300673200952758</v>
      </c>
      <c r="F283" s="27">
        <v>0.05</v>
      </c>
      <c r="G283" s="34">
        <v>1.0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23" t="s">
        <v>331</v>
      </c>
      <c r="C284" s="32">
        <v>14207.0695</v>
      </c>
      <c r="D284" s="26">
        <v>1018.7693</v>
      </c>
      <c r="E284" s="33">
        <v>0.07170861661512953</v>
      </c>
      <c r="F284" s="27">
        <v>0.05</v>
      </c>
      <c r="G284" s="34">
        <v>1.0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23" t="s">
        <v>332</v>
      </c>
      <c r="C285" s="32">
        <v>794.35</v>
      </c>
      <c r="D285" s="26">
        <v>56.87</v>
      </c>
      <c r="E285" s="33">
        <v>0.07159312645559261</v>
      </c>
      <c r="F285" s="27">
        <v>0.05</v>
      </c>
      <c r="G285" s="34">
        <v>1.0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23" t="s">
        <v>333</v>
      </c>
      <c r="C286" s="32">
        <v>28056.862</v>
      </c>
      <c r="D286" s="26">
        <v>1970.3994</v>
      </c>
      <c r="E286" s="33">
        <v>0.07022878752442094</v>
      </c>
      <c r="F286" s="27">
        <v>0.05</v>
      </c>
      <c r="G286" s="34">
        <v>1.0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23" t="s">
        <v>334</v>
      </c>
      <c r="C287" s="32">
        <v>3022.0385</v>
      </c>
      <c r="D287" s="26">
        <v>209.952</v>
      </c>
      <c r="E287" s="33">
        <v>0.0694736350976336</v>
      </c>
      <c r="F287" s="27">
        <v>0.05</v>
      </c>
      <c r="G287" s="34">
        <v>1.0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23" t="s">
        <v>335</v>
      </c>
      <c r="C288" s="32">
        <v>17940.98</v>
      </c>
      <c r="D288" s="26">
        <v>1240.8465</v>
      </c>
      <c r="E288" s="33">
        <v>0.06916269345375783</v>
      </c>
      <c r="F288" s="27">
        <v>0.05</v>
      </c>
      <c r="G288" s="34">
        <v>1.0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23" t="s">
        <v>336</v>
      </c>
      <c r="C289" s="32">
        <v>5846.441</v>
      </c>
      <c r="D289" s="26">
        <v>401.153</v>
      </c>
      <c r="E289" s="33">
        <v>0.06861490605994314</v>
      </c>
      <c r="F289" s="27">
        <v>0.05</v>
      </c>
      <c r="G289" s="34">
        <v>1.0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23" t="s">
        <v>337</v>
      </c>
      <c r="C290" s="32">
        <v>12992.456</v>
      </c>
      <c r="D290" s="26">
        <v>886.9578</v>
      </c>
      <c r="E290" s="33">
        <v>0.06826713902282987</v>
      </c>
      <c r="F290" s="27">
        <v>0.05</v>
      </c>
      <c r="G290" s="34">
        <v>1.0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23" t="s">
        <v>338</v>
      </c>
      <c r="C291" s="32">
        <v>9778.561</v>
      </c>
      <c r="D291" s="26">
        <v>659.3031</v>
      </c>
      <c r="E291" s="33">
        <v>0.06742332537476628</v>
      </c>
      <c r="F291" s="27">
        <v>0.05</v>
      </c>
      <c r="G291" s="34">
        <v>1.0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23" t="s">
        <v>339</v>
      </c>
      <c r="C292" s="32">
        <v>27809.0015</v>
      </c>
      <c r="D292" s="26">
        <v>1847.2929</v>
      </c>
      <c r="E292" s="33">
        <v>0.06642787588040512</v>
      </c>
      <c r="F292" s="27">
        <v>0.05</v>
      </c>
      <c r="G292" s="34">
        <v>1.0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23" t="s">
        <v>340</v>
      </c>
      <c r="C293" s="32">
        <v>14394.2235</v>
      </c>
      <c r="D293" s="26">
        <v>950.34</v>
      </c>
      <c r="E293" s="33">
        <v>0.06602231791107037</v>
      </c>
      <c r="F293" s="27">
        <v>0.05</v>
      </c>
      <c r="G293" s="34">
        <v>1.0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23" t="s">
        <v>341</v>
      </c>
      <c r="C294" s="32">
        <v>155822.2665</v>
      </c>
      <c r="D294" s="26">
        <v>10204.4806</v>
      </c>
      <c r="E294" s="33">
        <v>0.06548794873292388</v>
      </c>
      <c r="F294" s="27">
        <v>0.05</v>
      </c>
      <c r="G294" s="34">
        <v>1.0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23" t="s">
        <v>342</v>
      </c>
      <c r="C295" s="32">
        <v>11628.1755</v>
      </c>
      <c r="D295" s="26">
        <v>760.696</v>
      </c>
      <c r="E295" s="33">
        <v>0.06541834529415212</v>
      </c>
      <c r="F295" s="27">
        <v>0.05</v>
      </c>
      <c r="G295" s="34">
        <v>1.0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23" t="s">
        <v>343</v>
      </c>
      <c r="C296" s="32">
        <v>16574.863</v>
      </c>
      <c r="D296" s="26">
        <v>1075.1135</v>
      </c>
      <c r="E296" s="33">
        <v>0.0648640957092677</v>
      </c>
      <c r="F296" s="27">
        <v>0.05</v>
      </c>
      <c r="G296" s="34">
        <v>1.0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23" t="s">
        <v>344</v>
      </c>
      <c r="C297" s="32">
        <v>59375.9865</v>
      </c>
      <c r="D297" s="26">
        <v>3849.6671</v>
      </c>
      <c r="E297" s="33">
        <v>0.0648354213028528</v>
      </c>
      <c r="F297" s="27">
        <v>0.05</v>
      </c>
      <c r="G297" s="34">
        <v>1.0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23" t="s">
        <v>345</v>
      </c>
      <c r="C298" s="32">
        <v>51.27</v>
      </c>
      <c r="D298" s="26">
        <v>3.27</v>
      </c>
      <c r="E298" s="33">
        <v>0.06377998829724985</v>
      </c>
      <c r="F298" s="27">
        <v>0.05</v>
      </c>
      <c r="G298" s="34">
        <v>1.0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23" t="s">
        <v>346</v>
      </c>
      <c r="C299" s="32">
        <v>40098.213</v>
      </c>
      <c r="D299" s="26">
        <v>2533.6185</v>
      </c>
      <c r="E299" s="33">
        <v>0.06318532199926216</v>
      </c>
      <c r="F299" s="27">
        <v>0.05</v>
      </c>
      <c r="G299" s="34">
        <v>1.0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23" t="s">
        <v>347</v>
      </c>
      <c r="C300" s="32">
        <v>6514.183</v>
      </c>
      <c r="D300" s="26">
        <v>409.2365</v>
      </c>
      <c r="E300" s="33">
        <v>0.06282238309854052</v>
      </c>
      <c r="F300" s="27">
        <v>0.05</v>
      </c>
      <c r="G300" s="34">
        <v>1.0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23" t="s">
        <v>348</v>
      </c>
      <c r="C301" s="32">
        <v>9106.995</v>
      </c>
      <c r="D301" s="26">
        <v>569.169</v>
      </c>
      <c r="E301" s="33">
        <v>0.0624980029087531</v>
      </c>
      <c r="F301" s="27">
        <v>0.05</v>
      </c>
      <c r="G301" s="34">
        <v>1.0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23" t="s">
        <v>349</v>
      </c>
      <c r="C302" s="32">
        <v>5287.738</v>
      </c>
      <c r="D302" s="26">
        <v>330.419</v>
      </c>
      <c r="E302" s="33">
        <v>0.06248777832789748</v>
      </c>
      <c r="F302" s="27">
        <v>0.05</v>
      </c>
      <c r="G302" s="34">
        <v>1.0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23" t="s">
        <v>350</v>
      </c>
      <c r="C303" s="32">
        <v>6077.031</v>
      </c>
      <c r="D303" s="26">
        <v>375.9655</v>
      </c>
      <c r="E303" s="33">
        <v>0.061866641786095876</v>
      </c>
      <c r="F303" s="27">
        <v>0.05</v>
      </c>
      <c r="G303" s="34">
        <v>1.0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23" t="s">
        <v>351</v>
      </c>
      <c r="C304" s="32">
        <v>46356.624</v>
      </c>
      <c r="D304" s="26">
        <v>2863.332</v>
      </c>
      <c r="E304" s="33">
        <v>0.06176748332665467</v>
      </c>
      <c r="F304" s="27">
        <v>0.05</v>
      </c>
      <c r="G304" s="34">
        <v>1.0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23" t="s">
        <v>352</v>
      </c>
      <c r="C305" s="32">
        <v>13340.9915</v>
      </c>
      <c r="D305" s="26">
        <v>822.051</v>
      </c>
      <c r="E305" s="33">
        <v>0.06161843368238411</v>
      </c>
      <c r="F305" s="27">
        <v>0.05</v>
      </c>
      <c r="G305" s="34">
        <v>1.0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23" t="s">
        <v>353</v>
      </c>
      <c r="C306" s="32">
        <v>31509.593</v>
      </c>
      <c r="D306" s="26">
        <v>1910.953</v>
      </c>
      <c r="E306" s="33">
        <v>0.060646705274803134</v>
      </c>
      <c r="F306" s="27">
        <v>0.05</v>
      </c>
      <c r="G306" s="34">
        <v>1.0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23" t="s">
        <v>354</v>
      </c>
      <c r="C307" s="32">
        <v>43448.7285</v>
      </c>
      <c r="D307" s="26">
        <v>2633.5361</v>
      </c>
      <c r="E307" s="33">
        <v>0.06061250100794089</v>
      </c>
      <c r="F307" s="27">
        <v>0.05</v>
      </c>
      <c r="G307" s="34">
        <v>1.0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23" t="s">
        <v>355</v>
      </c>
      <c r="C308" s="32">
        <v>23598.1205</v>
      </c>
      <c r="D308" s="26">
        <v>1428.143</v>
      </c>
      <c r="E308" s="33">
        <v>0.0605193536493722</v>
      </c>
      <c r="F308" s="27">
        <v>0.05</v>
      </c>
      <c r="G308" s="34">
        <v>1.0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23" t="s">
        <v>356</v>
      </c>
      <c r="C309" s="32">
        <v>3808.515</v>
      </c>
      <c r="D309" s="26">
        <v>230.148</v>
      </c>
      <c r="E309" s="33">
        <v>0.06042985258033643</v>
      </c>
      <c r="F309" s="27">
        <v>0.05</v>
      </c>
      <c r="G309" s="34">
        <v>1.0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23" t="s">
        <v>357</v>
      </c>
      <c r="C310" s="32">
        <v>7676.9175</v>
      </c>
      <c r="D310" s="26">
        <v>458.9885</v>
      </c>
      <c r="E310" s="33">
        <v>0.0597881245955815</v>
      </c>
      <c r="F310" s="27">
        <v>0.05</v>
      </c>
      <c r="G310" s="34">
        <v>1.0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23" t="s">
        <v>358</v>
      </c>
      <c r="C311" s="32">
        <v>267570.4225</v>
      </c>
      <c r="D311" s="26">
        <v>15885.1656</v>
      </c>
      <c r="E311" s="33">
        <v>0.059368167271926335</v>
      </c>
      <c r="F311" s="27">
        <v>0.05</v>
      </c>
      <c r="G311" s="34">
        <v>1.0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23" t="s">
        <v>359</v>
      </c>
      <c r="C312" s="32">
        <v>887.94</v>
      </c>
      <c r="D312" s="26">
        <v>49.45</v>
      </c>
      <c r="E312" s="33">
        <v>0.05569069982206005</v>
      </c>
      <c r="F312" s="27">
        <v>0.05</v>
      </c>
      <c r="G312" s="34">
        <v>1.0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23" t="s">
        <v>360</v>
      </c>
      <c r="C313" s="32">
        <v>147376.2545</v>
      </c>
      <c r="D313" s="26">
        <v>8081.5638</v>
      </c>
      <c r="E313" s="33">
        <v>0.0548362680773652</v>
      </c>
      <c r="F313" s="27">
        <v>0.05</v>
      </c>
      <c r="G313" s="34">
        <v>1.0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23" t="s">
        <v>361</v>
      </c>
      <c r="C314" s="32">
        <v>13535.3405</v>
      </c>
      <c r="D314" s="26">
        <v>689.465</v>
      </c>
      <c r="E314" s="33">
        <v>0.05093813487736049</v>
      </c>
      <c r="F314" s="27">
        <v>0.05</v>
      </c>
      <c r="G314" s="34">
        <v>1.0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23" t="s">
        <v>362</v>
      </c>
      <c r="C315" s="32">
        <v>31229.498</v>
      </c>
      <c r="D315" s="26">
        <v>1586.7469</v>
      </c>
      <c r="E315" s="33">
        <v>0.05080923490989193</v>
      </c>
      <c r="F315" s="27">
        <v>0.05</v>
      </c>
      <c r="G315" s="34">
        <v>1.0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23" t="s">
        <v>363</v>
      </c>
      <c r="C316" s="32">
        <v>28662.122</v>
      </c>
      <c r="D316" s="26">
        <v>1453.471</v>
      </c>
      <c r="E316" s="33">
        <v>0.05071051612996414</v>
      </c>
      <c r="F316" s="27">
        <v>0.05</v>
      </c>
      <c r="G316" s="34">
        <v>1.0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23" t="s">
        <v>364</v>
      </c>
      <c r="C317" s="32">
        <v>29473.162</v>
      </c>
      <c r="D317" s="26">
        <v>1491.1139</v>
      </c>
      <c r="E317" s="33">
        <v>0.050592260850736</v>
      </c>
      <c r="F317" s="27">
        <v>0.05</v>
      </c>
      <c r="G317" s="34">
        <v>1.0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23" t="s">
        <v>365</v>
      </c>
      <c r="C318" s="32">
        <v>46412.4855</v>
      </c>
      <c r="D318" s="26">
        <v>2289.5299</v>
      </c>
      <c r="E318" s="33">
        <v>0.049330042882534265</v>
      </c>
      <c r="F318" s="27">
        <v>0.05</v>
      </c>
      <c r="G318" s="34">
        <v>0.0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23" t="s">
        <v>366</v>
      </c>
      <c r="C319" s="32">
        <v>25114.1235</v>
      </c>
      <c r="D319" s="26">
        <v>1182.5071</v>
      </c>
      <c r="E319" s="33">
        <v>0.04708534223780495</v>
      </c>
      <c r="F319" s="27">
        <v>0.05</v>
      </c>
      <c r="G319" s="34">
        <v>0.0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23" t="s">
        <v>367</v>
      </c>
      <c r="C320" s="32">
        <v>124158.6935</v>
      </c>
      <c r="D320" s="26">
        <v>5815.2756</v>
      </c>
      <c r="E320" s="33">
        <v>0.046837441954880106</v>
      </c>
      <c r="F320" s="27">
        <v>0.05</v>
      </c>
      <c r="G320" s="34">
        <v>0.0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23" t="s">
        <v>368</v>
      </c>
      <c r="C321" s="32">
        <v>134.06</v>
      </c>
      <c r="D321" s="26">
        <v>5.98</v>
      </c>
      <c r="E321" s="33">
        <v>0.04460689243622259</v>
      </c>
      <c r="F321" s="27">
        <v>0.05</v>
      </c>
      <c r="G321" s="34">
        <v>0.0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23" t="s">
        <v>369</v>
      </c>
      <c r="C322" s="32">
        <v>44031.3665</v>
      </c>
      <c r="D322" s="26">
        <v>1908.3903</v>
      </c>
      <c r="E322" s="33">
        <v>0.04334160966818961</v>
      </c>
      <c r="F322" s="27">
        <v>0.05</v>
      </c>
      <c r="G322" s="34">
        <v>0.0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23" t="s">
        <v>370</v>
      </c>
      <c r="C323" s="32">
        <v>6779.3</v>
      </c>
      <c r="D323" s="26">
        <v>289.678</v>
      </c>
      <c r="E323" s="33">
        <v>0.04272978036080421</v>
      </c>
      <c r="F323" s="27">
        <v>0.05</v>
      </c>
      <c r="G323" s="34">
        <v>0.0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23" t="s">
        <v>371</v>
      </c>
      <c r="C324" s="32">
        <v>55529.0415</v>
      </c>
      <c r="D324" s="26">
        <v>2350.6569</v>
      </c>
      <c r="E324" s="33">
        <v>0.04233202728701881</v>
      </c>
      <c r="F324" s="27">
        <v>0.05</v>
      </c>
      <c r="G324" s="34">
        <v>0.0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23" t="s">
        <v>372</v>
      </c>
      <c r="C325" s="32">
        <v>16404.4755</v>
      </c>
      <c r="D325" s="26">
        <v>687.5058</v>
      </c>
      <c r="E325" s="33">
        <v>0.041909648376139794</v>
      </c>
      <c r="F325" s="27">
        <v>0.05</v>
      </c>
      <c r="G325" s="34">
        <v>0.0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23" t="s">
        <v>373</v>
      </c>
      <c r="C326" s="32">
        <v>52608.1435</v>
      </c>
      <c r="D326" s="26">
        <v>2015.963</v>
      </c>
      <c r="E326" s="33">
        <v>0.038320360040836644</v>
      </c>
      <c r="F326" s="27">
        <v>0.05</v>
      </c>
      <c r="G326" s="34">
        <v>0.0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23" t="s">
        <v>374</v>
      </c>
      <c r="C327" s="32">
        <v>29312.6715</v>
      </c>
      <c r="D327" s="26">
        <v>1121.3896</v>
      </c>
      <c r="E327" s="33">
        <v>0.03825613779351363</v>
      </c>
      <c r="F327" s="27">
        <v>0.05</v>
      </c>
      <c r="G327" s="34">
        <v>0.0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23" t="s">
        <v>375</v>
      </c>
      <c r="C328" s="32">
        <v>6505.187</v>
      </c>
      <c r="D328" s="26">
        <v>244.176</v>
      </c>
      <c r="E328" s="33">
        <v>0.037535585064656866</v>
      </c>
      <c r="F328" s="27">
        <v>0.05</v>
      </c>
      <c r="G328" s="34">
        <v>0.0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23" t="s">
        <v>376</v>
      </c>
      <c r="C329" s="32">
        <v>1149.31</v>
      </c>
      <c r="D329" s="26">
        <v>42.26</v>
      </c>
      <c r="E329" s="33">
        <v>0.03676988801976838</v>
      </c>
      <c r="F329" s="27">
        <v>0.05</v>
      </c>
      <c r="G329" s="34">
        <v>0.0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23" t="s">
        <v>377</v>
      </c>
      <c r="C330" s="32">
        <v>35065.504</v>
      </c>
      <c r="D330" s="26">
        <v>1255.191</v>
      </c>
      <c r="E330" s="33">
        <v>0.03579560698742559</v>
      </c>
      <c r="F330" s="27">
        <v>0.05</v>
      </c>
      <c r="G330" s="34">
        <v>0.0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23" t="s">
        <v>378</v>
      </c>
      <c r="C331" s="32">
        <v>19762.139</v>
      </c>
      <c r="D331" s="26">
        <v>705.0225</v>
      </c>
      <c r="E331" s="33">
        <v>0.03567541448827984</v>
      </c>
      <c r="F331" s="27">
        <v>0.05</v>
      </c>
      <c r="G331" s="34">
        <v>0.0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23" t="s">
        <v>379</v>
      </c>
      <c r="C332" s="32">
        <v>6542.4455</v>
      </c>
      <c r="D332" s="26">
        <v>229.2315</v>
      </c>
      <c r="E332" s="33">
        <v>0.0350375864804682</v>
      </c>
      <c r="F332" s="27">
        <v>0.05</v>
      </c>
      <c r="G332" s="34">
        <v>0.0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23" t="s">
        <v>380</v>
      </c>
      <c r="C333" s="32">
        <v>3859.3385</v>
      </c>
      <c r="D333" s="26">
        <v>134.8918</v>
      </c>
      <c r="E333" s="33">
        <v>0.03495205201616806</v>
      </c>
      <c r="F333" s="27">
        <v>0.05</v>
      </c>
      <c r="G333" s="34">
        <v>0.0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23" t="s">
        <v>381</v>
      </c>
      <c r="C334" s="32">
        <v>13389.3345</v>
      </c>
      <c r="D334" s="26">
        <v>466.2821</v>
      </c>
      <c r="E334" s="33">
        <v>0.03482488991517838</v>
      </c>
      <c r="F334" s="27">
        <v>0.05</v>
      </c>
      <c r="G334" s="34">
        <v>0.0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23" t="s">
        <v>382</v>
      </c>
      <c r="C335" s="32">
        <v>28943.3635</v>
      </c>
      <c r="D335" s="26">
        <v>987.0596</v>
      </c>
      <c r="E335" s="33">
        <v>0.03410314077698676</v>
      </c>
      <c r="F335" s="27">
        <v>0.05</v>
      </c>
      <c r="G335" s="34">
        <v>0.0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23" t="s">
        <v>383</v>
      </c>
      <c r="C336" s="32">
        <v>33141.988</v>
      </c>
      <c r="D336" s="26">
        <v>1113.9756</v>
      </c>
      <c r="E336" s="33">
        <v>0.0336122142099623</v>
      </c>
      <c r="F336" s="27">
        <v>0.05</v>
      </c>
      <c r="G336" s="34">
        <v>0.0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23" t="s">
        <v>384</v>
      </c>
      <c r="C337" s="32">
        <v>52330.5925</v>
      </c>
      <c r="D337" s="26">
        <v>1694.7619</v>
      </c>
      <c r="E337" s="33">
        <v>0.03238568147303129</v>
      </c>
      <c r="F337" s="27">
        <v>0.05</v>
      </c>
      <c r="G337" s="34">
        <v>0.0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23" t="s">
        <v>385</v>
      </c>
      <c r="C338" s="32">
        <v>24509.384</v>
      </c>
      <c r="D338" s="26">
        <v>788.1349</v>
      </c>
      <c r="E338" s="33">
        <v>0.03215645485010966</v>
      </c>
      <c r="F338" s="27">
        <v>0.05</v>
      </c>
      <c r="G338" s="34">
        <v>0.0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23" t="s">
        <v>386</v>
      </c>
      <c r="C339" s="32">
        <v>191.67</v>
      </c>
      <c r="D339" s="26">
        <v>6.02</v>
      </c>
      <c r="E339" s="33">
        <v>0.03140814942348829</v>
      </c>
      <c r="F339" s="27">
        <v>0.05</v>
      </c>
      <c r="G339" s="34">
        <v>0.0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23" t="s">
        <v>387</v>
      </c>
      <c r="C340" s="32">
        <v>50824.266</v>
      </c>
      <c r="D340" s="26">
        <v>1563.4924</v>
      </c>
      <c r="E340" s="33">
        <v>0.030762714802413476</v>
      </c>
      <c r="F340" s="27">
        <v>0.05</v>
      </c>
      <c r="G340" s="34">
        <v>0.0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23" t="s">
        <v>388</v>
      </c>
      <c r="C341" s="32">
        <v>4161.4405</v>
      </c>
      <c r="D341" s="26">
        <v>123.357</v>
      </c>
      <c r="E341" s="33">
        <v>0.029642860447001467</v>
      </c>
      <c r="F341" s="27">
        <v>0.05</v>
      </c>
      <c r="G341" s="34">
        <v>0.0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23" t="s">
        <v>389</v>
      </c>
      <c r="C342" s="32">
        <v>10320.204</v>
      </c>
      <c r="D342" s="26">
        <v>302.787</v>
      </c>
      <c r="E342" s="33">
        <v>0.029339245619563335</v>
      </c>
      <c r="F342" s="27">
        <v>0.05</v>
      </c>
      <c r="G342" s="34">
        <v>0.0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23" t="s">
        <v>390</v>
      </c>
      <c r="C343" s="32">
        <v>34151.604</v>
      </c>
      <c r="D343" s="26">
        <v>1001.257</v>
      </c>
      <c r="E343" s="33">
        <v>0.029318008020940978</v>
      </c>
      <c r="F343" s="27">
        <v>0.05</v>
      </c>
      <c r="G343" s="34">
        <v>0.0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23" t="s">
        <v>391</v>
      </c>
      <c r="C344" s="32">
        <v>7830.19</v>
      </c>
      <c r="D344" s="26">
        <v>220.764</v>
      </c>
      <c r="E344" s="33">
        <v>0.028193951870899688</v>
      </c>
      <c r="F344" s="27">
        <v>0.05</v>
      </c>
      <c r="G344" s="34">
        <v>0.0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23" t="s">
        <v>392</v>
      </c>
      <c r="C345" s="32">
        <v>24491.589</v>
      </c>
      <c r="D345" s="26">
        <v>680.7588</v>
      </c>
      <c r="E345" s="33">
        <v>0.02779561587449471</v>
      </c>
      <c r="F345" s="27">
        <v>0.05</v>
      </c>
      <c r="G345" s="34">
        <v>0.0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23" t="s">
        <v>393</v>
      </c>
      <c r="C346" s="32">
        <v>39577.936</v>
      </c>
      <c r="D346" s="26">
        <v>1068.9276</v>
      </c>
      <c r="E346" s="33">
        <v>0.027008169400243608</v>
      </c>
      <c r="F346" s="27">
        <v>0.05</v>
      </c>
      <c r="G346" s="34">
        <v>0.0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23" t="s">
        <v>394</v>
      </c>
      <c r="C347" s="32">
        <v>33880.2085</v>
      </c>
      <c r="D347" s="26">
        <v>906.894</v>
      </c>
      <c r="E347" s="33">
        <v>0.02676766289676169</v>
      </c>
      <c r="F347" s="27">
        <v>0.05</v>
      </c>
      <c r="G347" s="34">
        <v>0.0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23" t="s">
        <v>395</v>
      </c>
      <c r="C348" s="32">
        <v>17758.078</v>
      </c>
      <c r="D348" s="26">
        <v>450.563</v>
      </c>
      <c r="E348" s="33">
        <v>0.025372284095159396</v>
      </c>
      <c r="F348" s="27">
        <v>0.05</v>
      </c>
      <c r="G348" s="34">
        <v>0.0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23" t="s">
        <v>396</v>
      </c>
      <c r="C349" s="32">
        <v>35496.0695</v>
      </c>
      <c r="D349" s="26">
        <v>828.0506</v>
      </c>
      <c r="E349" s="33">
        <v>0.023327951845485317</v>
      </c>
      <c r="F349" s="27">
        <v>0.05</v>
      </c>
      <c r="G349" s="34">
        <v>0.0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23" t="s">
        <v>397</v>
      </c>
      <c r="C350" s="32">
        <v>6886.85</v>
      </c>
      <c r="D350" s="26">
        <v>153.23</v>
      </c>
      <c r="E350" s="33">
        <v>0.022249649694708027</v>
      </c>
      <c r="F350" s="27">
        <v>0.05</v>
      </c>
      <c r="G350" s="34">
        <v>0.0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23" t="s">
        <v>398</v>
      </c>
      <c r="C351" s="32">
        <v>712.18</v>
      </c>
      <c r="D351" s="26">
        <v>13.98</v>
      </c>
      <c r="E351" s="33">
        <v>0.019629868853379764</v>
      </c>
      <c r="F351" s="27">
        <v>0.05</v>
      </c>
      <c r="G351" s="34">
        <v>-1.0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23" t="s">
        <v>399</v>
      </c>
      <c r="C352" s="32">
        <v>12742.7005</v>
      </c>
      <c r="D352" s="26">
        <v>228.049</v>
      </c>
      <c r="E352" s="33">
        <v>0.017896441966912743</v>
      </c>
      <c r="F352" s="27">
        <v>0.05</v>
      </c>
      <c r="G352" s="34">
        <v>-1.0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23" t="s">
        <v>400</v>
      </c>
      <c r="C353" s="32">
        <v>99714.749</v>
      </c>
      <c r="D353" s="26">
        <v>1616.3087</v>
      </c>
      <c r="E353" s="33">
        <v>0.016209324259543592</v>
      </c>
      <c r="F353" s="27">
        <v>0.05</v>
      </c>
      <c r="G353" s="34">
        <v>-1.0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23" t="s">
        <v>401</v>
      </c>
      <c r="C354" s="32">
        <v>25722.905</v>
      </c>
      <c r="D354" s="26">
        <v>412.902</v>
      </c>
      <c r="E354" s="33">
        <v>0.016051919485765703</v>
      </c>
      <c r="F354" s="27">
        <v>0.05</v>
      </c>
      <c r="G354" s="34">
        <v>-1.0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23" t="s">
        <v>402</v>
      </c>
      <c r="C355" s="32">
        <v>87.44</v>
      </c>
      <c r="D355" s="26">
        <v>1.33</v>
      </c>
      <c r="E355" s="33">
        <v>0.015210430009149132</v>
      </c>
      <c r="F355" s="27">
        <v>0.05</v>
      </c>
      <c r="G355" s="34">
        <v>-1.0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23" t="s">
        <v>403</v>
      </c>
      <c r="C356" s="32">
        <v>4361.43</v>
      </c>
      <c r="D356" s="26">
        <v>62.71</v>
      </c>
      <c r="E356" s="33">
        <v>0.014378311700520242</v>
      </c>
      <c r="F356" s="27">
        <v>0.05</v>
      </c>
      <c r="G356" s="34">
        <v>-1.0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23" t="s">
        <v>404</v>
      </c>
      <c r="C357" s="32">
        <v>32540.7385</v>
      </c>
      <c r="D357" s="26">
        <v>437.6788</v>
      </c>
      <c r="E357" s="33">
        <v>0.0134501803024538</v>
      </c>
      <c r="F357" s="27">
        <v>0.05</v>
      </c>
      <c r="G357" s="34">
        <v>-1.0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23" t="s">
        <v>405</v>
      </c>
      <c r="C358" s="32">
        <v>97182.207</v>
      </c>
      <c r="D358" s="26">
        <v>1303.5891</v>
      </c>
      <c r="E358" s="33">
        <v>0.01341386597651564</v>
      </c>
      <c r="F358" s="27">
        <v>0.05</v>
      </c>
      <c r="G358" s="34">
        <v>-1.0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23" t="s">
        <v>406</v>
      </c>
      <c r="C359" s="32">
        <v>14062.0175</v>
      </c>
      <c r="D359" s="26">
        <v>186.3715</v>
      </c>
      <c r="E359" s="33">
        <v>0.013253539188100143</v>
      </c>
      <c r="F359" s="27">
        <v>0.05</v>
      </c>
      <c r="G359" s="34">
        <v>-1.0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23" t="s">
        <v>407</v>
      </c>
      <c r="C360" s="32">
        <v>4545.66</v>
      </c>
      <c r="D360" s="26">
        <v>54.8505</v>
      </c>
      <c r="E360" s="33">
        <v>0.012066564591280474</v>
      </c>
      <c r="F360" s="27">
        <v>0.05</v>
      </c>
      <c r="G360" s="34">
        <v>-1.0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23" t="s">
        <v>408</v>
      </c>
      <c r="C361" s="32">
        <v>150.13</v>
      </c>
      <c r="D361" s="26">
        <v>1.73</v>
      </c>
      <c r="E361" s="33">
        <v>0.011523346433091322</v>
      </c>
      <c r="F361" s="27">
        <v>0.05</v>
      </c>
      <c r="G361" s="34">
        <v>-1.0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23" t="s">
        <v>409</v>
      </c>
      <c r="C362" s="32">
        <v>17993.09</v>
      </c>
      <c r="D362" s="26">
        <v>191.882</v>
      </c>
      <c r="E362" s="33">
        <v>0.010664204980912117</v>
      </c>
      <c r="F362" s="27">
        <v>0.05</v>
      </c>
      <c r="G362" s="34">
        <v>-1.0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23" t="s">
        <v>410</v>
      </c>
      <c r="C363" s="32">
        <v>43597.9655</v>
      </c>
      <c r="D363" s="26">
        <v>444.4634</v>
      </c>
      <c r="E363" s="33">
        <v>0.010194590387480352</v>
      </c>
      <c r="F363" s="27">
        <v>0.05</v>
      </c>
      <c r="G363" s="34">
        <v>-1.0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23" t="s">
        <v>411</v>
      </c>
      <c r="C364" s="32">
        <v>34846.4725</v>
      </c>
      <c r="D364" s="26">
        <v>296.2997</v>
      </c>
      <c r="E364" s="33">
        <v>0.008503004141954396</v>
      </c>
      <c r="F364" s="27">
        <v>0.05</v>
      </c>
      <c r="G364" s="34">
        <v>-1.0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23" t="s">
        <v>412</v>
      </c>
      <c r="C365" s="32">
        <v>29711.626</v>
      </c>
      <c r="D365" s="26">
        <v>234.0178</v>
      </c>
      <c r="E365" s="33">
        <v>0.007876304043407115</v>
      </c>
      <c r="F365" s="27">
        <v>0.05</v>
      </c>
      <c r="G365" s="34">
        <v>-1.0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23" t="s">
        <v>413</v>
      </c>
      <c r="C366" s="32">
        <v>13787.3335</v>
      </c>
      <c r="D366" s="26">
        <v>90.8955</v>
      </c>
      <c r="E366" s="33">
        <v>0.00659268160881145</v>
      </c>
      <c r="F366" s="27">
        <v>0.05</v>
      </c>
      <c r="G366" s="34">
        <v>-1.0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23" t="s">
        <v>414</v>
      </c>
      <c r="C367" s="32">
        <v>8757.8</v>
      </c>
      <c r="D367" s="26">
        <v>56.723</v>
      </c>
      <c r="E367" s="33">
        <v>0.006476854917901757</v>
      </c>
      <c r="F367" s="27">
        <v>0.05</v>
      </c>
      <c r="G367" s="34">
        <v>-1.0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23" t="s">
        <v>415</v>
      </c>
      <c r="C368" s="32">
        <v>78532.2115</v>
      </c>
      <c r="D368" s="26">
        <v>493.778</v>
      </c>
      <c r="E368" s="33">
        <v>0.006287585572450102</v>
      </c>
      <c r="F368" s="27">
        <v>0.05</v>
      </c>
      <c r="G368" s="34">
        <v>-1.0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23" t="s">
        <v>416</v>
      </c>
      <c r="C369" s="32">
        <v>1488.95</v>
      </c>
      <c r="D369" s="26">
        <v>7.56</v>
      </c>
      <c r="E369" s="33">
        <v>0.005077403539406964</v>
      </c>
      <c r="F369" s="27">
        <v>0.05</v>
      </c>
      <c r="G369" s="34">
        <v>-1.0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23" t="s">
        <v>417</v>
      </c>
      <c r="C370" s="32">
        <v>4431.701</v>
      </c>
      <c r="D370" s="26">
        <v>20.5711</v>
      </c>
      <c r="E370" s="33">
        <v>0.004641806836697693</v>
      </c>
      <c r="F370" s="27">
        <v>0.05</v>
      </c>
      <c r="G370" s="34">
        <v>-1.0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23" t="s">
        <v>418</v>
      </c>
      <c r="C371" s="32">
        <v>17950.23</v>
      </c>
      <c r="D371" s="26">
        <v>71.86</v>
      </c>
      <c r="E371" s="33">
        <v>0.00400329132272957</v>
      </c>
      <c r="F371" s="27">
        <v>0.05</v>
      </c>
      <c r="G371" s="34">
        <v>-1.0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23" t="s">
        <v>419</v>
      </c>
      <c r="C372" s="32">
        <v>36639.7225</v>
      </c>
      <c r="D372" s="26">
        <v>81.4829</v>
      </c>
      <c r="E372" s="33">
        <v>0.002223895118201291</v>
      </c>
      <c r="F372" s="27">
        <v>0.05</v>
      </c>
      <c r="G372" s="34">
        <v>-1.0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23" t="s">
        <v>420</v>
      </c>
      <c r="C373" s="32">
        <v>382756.3175</v>
      </c>
      <c r="D373" s="26">
        <v>681.5528</v>
      </c>
      <c r="E373" s="33">
        <v>0.0017806441561869191</v>
      </c>
      <c r="F373" s="27">
        <v>0.05</v>
      </c>
      <c r="G373" s="34">
        <v>-1.0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23" t="s">
        <v>421</v>
      </c>
      <c r="C374" s="32">
        <v>45583.247</v>
      </c>
      <c r="D374" s="26">
        <v>-15.7062</v>
      </c>
      <c r="E374" s="33">
        <v>-3.445607988390998E-4</v>
      </c>
      <c r="F374" s="27">
        <v>0.05</v>
      </c>
      <c r="G374" s="34">
        <v>-1.0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23" t="s">
        <v>422</v>
      </c>
      <c r="C375" s="32">
        <v>7319.81</v>
      </c>
      <c r="D375" s="26">
        <v>-3.716</v>
      </c>
      <c r="E375" s="33">
        <v>-5.076634502808133E-4</v>
      </c>
      <c r="F375" s="27">
        <v>0.05</v>
      </c>
      <c r="G375" s="34">
        <v>-1.0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23" t="s">
        <v>423</v>
      </c>
      <c r="C376" s="32">
        <v>65142.2255</v>
      </c>
      <c r="D376" s="26">
        <v>-189.5401</v>
      </c>
      <c r="E376" s="33">
        <v>-0.0029096350108578956</v>
      </c>
      <c r="F376" s="27">
        <v>0.05</v>
      </c>
      <c r="G376" s="34">
        <v>-1.0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23" t="s">
        <v>424</v>
      </c>
      <c r="C377" s="32">
        <v>22168.5</v>
      </c>
      <c r="D377" s="26">
        <v>-83.5095</v>
      </c>
      <c r="E377" s="33">
        <v>-0.0037670343054333854</v>
      </c>
      <c r="F377" s="27">
        <v>0.05</v>
      </c>
      <c r="G377" s="34">
        <v>-1.0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23" t="s">
        <v>425</v>
      </c>
      <c r="C378" s="32">
        <v>1386.09</v>
      </c>
      <c r="D378" s="26">
        <v>-6.3507</v>
      </c>
      <c r="E378" s="33">
        <v>-0.004581737116637448</v>
      </c>
      <c r="F378" s="27">
        <v>0.05</v>
      </c>
      <c r="G378" s="34">
        <v>-1.0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23" t="s">
        <v>426</v>
      </c>
      <c r="C379" s="32">
        <v>46845.8815</v>
      </c>
      <c r="D379" s="26">
        <v>-348.4314</v>
      </c>
      <c r="E379" s="33">
        <v>-0.007437823536312365</v>
      </c>
      <c r="F379" s="27">
        <v>0.05</v>
      </c>
      <c r="G379" s="34">
        <v>-1.0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23" t="s">
        <v>427</v>
      </c>
      <c r="C380" s="32">
        <v>2934.78</v>
      </c>
      <c r="D380" s="26">
        <v>-22.64</v>
      </c>
      <c r="E380" s="33">
        <v>-0.007714377227594572</v>
      </c>
      <c r="F380" s="27">
        <v>0.05</v>
      </c>
      <c r="G380" s="34">
        <v>-1.0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23" t="s">
        <v>428</v>
      </c>
      <c r="C381" s="32">
        <v>17597.4305</v>
      </c>
      <c r="D381" s="26">
        <v>-138.6468</v>
      </c>
      <c r="E381" s="33">
        <v>-0.007878809352308567</v>
      </c>
      <c r="F381" s="27">
        <v>0.05</v>
      </c>
      <c r="G381" s="34">
        <v>-1.0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23" t="s">
        <v>429</v>
      </c>
      <c r="C382" s="32">
        <v>7573.11</v>
      </c>
      <c r="D382" s="26">
        <v>-60.0115</v>
      </c>
      <c r="E382" s="33">
        <v>-0.007924287379953546</v>
      </c>
      <c r="F382" s="27">
        <v>0.05</v>
      </c>
      <c r="G382" s="34">
        <v>-1.0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23" t="s">
        <v>430</v>
      </c>
      <c r="C383" s="32">
        <v>33243.8175</v>
      </c>
      <c r="D383" s="26">
        <v>-306.57</v>
      </c>
      <c r="E383" s="33">
        <v>-0.009221865088147594</v>
      </c>
      <c r="F383" s="27">
        <v>0.05</v>
      </c>
      <c r="G383" s="34">
        <v>-1.0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23" t="s">
        <v>431</v>
      </c>
      <c r="C384" s="32">
        <v>27227.5525</v>
      </c>
      <c r="D384" s="26">
        <v>-267.1484</v>
      </c>
      <c r="E384" s="33">
        <v>-0.00981169350421783</v>
      </c>
      <c r="F384" s="27">
        <v>0.05</v>
      </c>
      <c r="G384" s="34">
        <v>-1.0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23" t="s">
        <v>432</v>
      </c>
      <c r="C385" s="32">
        <v>49000.926</v>
      </c>
      <c r="D385" s="26">
        <v>-516.7235</v>
      </c>
      <c r="E385" s="33">
        <v>-0.010545178268671901</v>
      </c>
      <c r="F385" s="27">
        <v>0.05</v>
      </c>
      <c r="G385" s="34">
        <v>-1.0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23" t="s">
        <v>433</v>
      </c>
      <c r="C386" s="32">
        <v>10752.3625</v>
      </c>
      <c r="D386" s="26">
        <v>-115.2351</v>
      </c>
      <c r="E386" s="33">
        <v>-0.010717188896858715</v>
      </c>
      <c r="F386" s="27">
        <v>0.05</v>
      </c>
      <c r="G386" s="34">
        <v>-1.0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23" t="s">
        <v>434</v>
      </c>
      <c r="C387" s="32">
        <v>17879.432</v>
      </c>
      <c r="D387" s="26">
        <v>-201.5795</v>
      </c>
      <c r="E387" s="33">
        <v>-0.011274379409815703</v>
      </c>
      <c r="F387" s="27">
        <v>0.05</v>
      </c>
      <c r="G387" s="34">
        <v>-1.0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23" t="s">
        <v>435</v>
      </c>
      <c r="C388" s="32">
        <v>3293.3995</v>
      </c>
      <c r="D388" s="26">
        <v>-37.163</v>
      </c>
      <c r="E388" s="33">
        <v>-0.01128408503128758</v>
      </c>
      <c r="F388" s="27">
        <v>0.05</v>
      </c>
      <c r="G388" s="34">
        <v>-1.0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23" t="s">
        <v>436</v>
      </c>
      <c r="C389" s="32">
        <v>33974.4435</v>
      </c>
      <c r="D389" s="26">
        <v>-384.555</v>
      </c>
      <c r="E389" s="33">
        <v>-0.011318949197799221</v>
      </c>
      <c r="F389" s="27">
        <v>0.05</v>
      </c>
      <c r="G389" s="34">
        <v>-1.0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23" t="s">
        <v>437</v>
      </c>
      <c r="C390" s="32">
        <v>10082.7795</v>
      </c>
      <c r="D390" s="26">
        <v>-140.3473</v>
      </c>
      <c r="E390" s="33">
        <v>-0.013919505033309514</v>
      </c>
      <c r="F390" s="27">
        <v>0.05</v>
      </c>
      <c r="G390" s="34">
        <v>-1.0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23" t="s">
        <v>438</v>
      </c>
      <c r="C391" s="32">
        <v>2477.88</v>
      </c>
      <c r="D391" s="26">
        <v>-35.42</v>
      </c>
      <c r="E391" s="33">
        <v>-0.014294477537249585</v>
      </c>
      <c r="F391" s="27">
        <v>0.05</v>
      </c>
      <c r="G391" s="34">
        <v>-1.0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23" t="s">
        <v>439</v>
      </c>
      <c r="C392" s="32">
        <v>1112.74</v>
      </c>
      <c r="D392" s="26">
        <v>-17.78</v>
      </c>
      <c r="E392" s="33">
        <v>-0.015978575408451212</v>
      </c>
      <c r="F392" s="27">
        <v>0.05</v>
      </c>
      <c r="G392" s="34">
        <v>-1.0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23" t="s">
        <v>440</v>
      </c>
      <c r="C393" s="32">
        <v>20864.71</v>
      </c>
      <c r="D393" s="26">
        <v>-347.5984</v>
      </c>
      <c r="E393" s="33">
        <v>-0.016659632460743524</v>
      </c>
      <c r="F393" s="27">
        <v>0.05</v>
      </c>
      <c r="G393" s="34">
        <v>-1.0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23" t="s">
        <v>441</v>
      </c>
      <c r="C394" s="32">
        <v>41665.0665</v>
      </c>
      <c r="D394" s="26">
        <v>-694.6481</v>
      </c>
      <c r="E394" s="33">
        <v>-0.016672194678964452</v>
      </c>
      <c r="F394" s="27">
        <v>0.05</v>
      </c>
      <c r="G394" s="34">
        <v>-1.0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23" t="s">
        <v>442</v>
      </c>
      <c r="C395" s="32">
        <v>17108.1</v>
      </c>
      <c r="D395" s="26">
        <v>-342.1935</v>
      </c>
      <c r="E395" s="33">
        <v>-0.02000184123310011</v>
      </c>
      <c r="F395" s="27">
        <v>0.05</v>
      </c>
      <c r="G395" s="34">
        <v>-1.0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23" t="s">
        <v>443</v>
      </c>
      <c r="C396" s="32">
        <v>21537.157</v>
      </c>
      <c r="D396" s="26">
        <v>-436.538</v>
      </c>
      <c r="E396" s="33">
        <v>-0.02026906336802021</v>
      </c>
      <c r="F396" s="27">
        <v>0.05</v>
      </c>
      <c r="G396" s="34">
        <v>-1.0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23" t="s">
        <v>444</v>
      </c>
      <c r="C397" s="32">
        <v>16054.694</v>
      </c>
      <c r="D397" s="26">
        <v>-376.5225</v>
      </c>
      <c r="E397" s="33">
        <v>-0.0234524868552462</v>
      </c>
      <c r="F397" s="27">
        <v>0.05</v>
      </c>
      <c r="G397" s="34">
        <v>-1.0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23" t="s">
        <v>445</v>
      </c>
      <c r="C398" s="32">
        <v>23126.1645</v>
      </c>
      <c r="D398" s="26">
        <v>-576.009</v>
      </c>
      <c r="E398" s="33">
        <v>-0.024907243049317584</v>
      </c>
      <c r="F398" s="27">
        <v>0.05</v>
      </c>
      <c r="G398" s="34">
        <v>-1.0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23" t="s">
        <v>446</v>
      </c>
      <c r="C399" s="32">
        <v>60951.0815</v>
      </c>
      <c r="D399" s="26">
        <v>-1622.5134</v>
      </c>
      <c r="E399" s="33">
        <v>-0.02661992798273809</v>
      </c>
      <c r="F399" s="27">
        <v>0.05</v>
      </c>
      <c r="G399" s="34">
        <v>-1.0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23" t="s">
        <v>447</v>
      </c>
      <c r="C400" s="32">
        <v>60966.96</v>
      </c>
      <c r="D400" s="26">
        <v>-1701.6355</v>
      </c>
      <c r="E400" s="33">
        <v>-0.027910781511822143</v>
      </c>
      <c r="F400" s="27">
        <v>0.05</v>
      </c>
      <c r="G400" s="34">
        <v>-1.0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23" t="s">
        <v>448</v>
      </c>
      <c r="C401" s="32">
        <v>2585.75</v>
      </c>
      <c r="D401" s="26">
        <v>-77.4935</v>
      </c>
      <c r="E401" s="33">
        <v>-0.02996944793580199</v>
      </c>
      <c r="F401" s="27">
        <v>0.05</v>
      </c>
      <c r="G401" s="34">
        <v>-1.0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23" t="s">
        <v>449</v>
      </c>
      <c r="C402" s="32">
        <v>22614.8135</v>
      </c>
      <c r="D402" s="26">
        <v>-704.4058</v>
      </c>
      <c r="E402" s="33">
        <v>-0.031147981830581976</v>
      </c>
      <c r="F402" s="27">
        <v>0.05</v>
      </c>
      <c r="G402" s="34">
        <v>-1.0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23" t="s">
        <v>450</v>
      </c>
      <c r="C403" s="32">
        <v>2219.7325</v>
      </c>
      <c r="D403" s="26">
        <v>-69.784</v>
      </c>
      <c r="E403" s="33">
        <v>-0.03143802237431763</v>
      </c>
      <c r="F403" s="27">
        <v>0.05</v>
      </c>
      <c r="G403" s="34">
        <v>-1.0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23" t="s">
        <v>451</v>
      </c>
      <c r="C404" s="32">
        <v>1820.91</v>
      </c>
      <c r="D404" s="26">
        <v>-60.1955</v>
      </c>
      <c r="E404" s="33">
        <v>-0.03305792158865622</v>
      </c>
      <c r="F404" s="27">
        <v>0.05</v>
      </c>
      <c r="G404" s="34">
        <v>-1.0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23" t="s">
        <v>452</v>
      </c>
      <c r="C405" s="32">
        <v>5469.763</v>
      </c>
      <c r="D405" s="26">
        <v>-186.2175</v>
      </c>
      <c r="E405" s="33">
        <v>-0.03404489371842985</v>
      </c>
      <c r="F405" s="27">
        <v>0.05</v>
      </c>
      <c r="G405" s="34">
        <v>-1.0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23" t="s">
        <v>453</v>
      </c>
      <c r="C406" s="32">
        <v>2892.8</v>
      </c>
      <c r="D406" s="26">
        <v>-106.7665</v>
      </c>
      <c r="E406" s="33">
        <v>-0.0369076673119469</v>
      </c>
      <c r="F406" s="27">
        <v>0.05</v>
      </c>
      <c r="G406" s="34">
        <v>-1.0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23" t="s">
        <v>454</v>
      </c>
      <c r="C407" s="32">
        <v>12279.5795</v>
      </c>
      <c r="D407" s="26">
        <v>-453.546</v>
      </c>
      <c r="E407" s="33">
        <v>-0.036934978107352946</v>
      </c>
      <c r="F407" s="27">
        <v>0.05</v>
      </c>
      <c r="G407" s="34">
        <v>-1.0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23" t="s">
        <v>455</v>
      </c>
      <c r="C408" s="32">
        <v>11715.6655</v>
      </c>
      <c r="D408" s="26">
        <v>-469.2974</v>
      </c>
      <c r="E408" s="33">
        <v>-0.04005725496345043</v>
      </c>
      <c r="F408" s="27">
        <v>0.05</v>
      </c>
      <c r="G408" s="34">
        <v>-1.0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23" t="s">
        <v>456</v>
      </c>
      <c r="C409" s="32">
        <v>7253.01</v>
      </c>
      <c r="D409" s="26">
        <v>-292.2065</v>
      </c>
      <c r="E409" s="33">
        <v>-0.040287618519759386</v>
      </c>
      <c r="F409" s="27">
        <v>0.05</v>
      </c>
      <c r="G409" s="34">
        <v>-1.0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23" t="s">
        <v>457</v>
      </c>
      <c r="C410" s="32">
        <v>39612.5405</v>
      </c>
      <c r="D410" s="26">
        <v>-1596.6101</v>
      </c>
      <c r="E410" s="33">
        <v>-0.0403056728966929</v>
      </c>
      <c r="F410" s="27">
        <v>0.05</v>
      </c>
      <c r="G410" s="34">
        <v>-1.0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23" t="s">
        <v>458</v>
      </c>
      <c r="C411" s="32">
        <v>30800.23</v>
      </c>
      <c r="D411" s="26">
        <v>-1353.269</v>
      </c>
      <c r="E411" s="33">
        <v>-0.04393697709400222</v>
      </c>
      <c r="F411" s="27">
        <v>0.05</v>
      </c>
      <c r="G411" s="34">
        <v>-1.0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23" t="s">
        <v>459</v>
      </c>
      <c r="C412" s="32">
        <v>10648.882</v>
      </c>
      <c r="D412" s="26">
        <v>-479.7575</v>
      </c>
      <c r="E412" s="33">
        <v>-0.04505238202470457</v>
      </c>
      <c r="F412" s="27">
        <v>0.05</v>
      </c>
      <c r="G412" s="34">
        <v>-1.0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23" t="s">
        <v>460</v>
      </c>
      <c r="C413" s="32">
        <v>4147.453</v>
      </c>
      <c r="D413" s="26">
        <v>-187.147</v>
      </c>
      <c r="E413" s="33">
        <v>-0.045123356431043336</v>
      </c>
      <c r="F413" s="27">
        <v>0.05</v>
      </c>
      <c r="G413" s="34">
        <v>-1.0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23" t="s">
        <v>461</v>
      </c>
      <c r="C414" s="32">
        <v>765.91</v>
      </c>
      <c r="D414" s="26">
        <v>-37.111</v>
      </c>
      <c r="E414" s="33">
        <v>-0.048453473645728606</v>
      </c>
      <c r="F414" s="27">
        <v>0.05</v>
      </c>
      <c r="G414" s="34">
        <v>-1.0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23" t="s">
        <v>462</v>
      </c>
      <c r="C415" s="32">
        <v>8625.54</v>
      </c>
      <c r="D415" s="26">
        <v>-440.65</v>
      </c>
      <c r="E415" s="33">
        <v>-0.05108665660352858</v>
      </c>
      <c r="F415" s="27">
        <v>0.05</v>
      </c>
      <c r="G415" s="34">
        <v>-1.0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23" t="s">
        <v>463</v>
      </c>
      <c r="C416" s="32">
        <v>2584.329</v>
      </c>
      <c r="D416" s="26">
        <v>-132.903</v>
      </c>
      <c r="E416" s="33">
        <v>-0.051426501811495356</v>
      </c>
      <c r="F416" s="27">
        <v>0.05</v>
      </c>
      <c r="G416" s="34">
        <v>-1.0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23" t="s">
        <v>464</v>
      </c>
      <c r="C417" s="32">
        <v>10914.677</v>
      </c>
      <c r="D417" s="26">
        <v>-685.802</v>
      </c>
      <c r="E417" s="33">
        <v>-0.06283300916738077</v>
      </c>
      <c r="F417" s="27">
        <v>0.05</v>
      </c>
      <c r="G417" s="34">
        <v>-1.0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23" t="s">
        <v>465</v>
      </c>
      <c r="C418" s="32">
        <v>6746.312</v>
      </c>
      <c r="D418" s="26">
        <v>-433.2901</v>
      </c>
      <c r="E418" s="33">
        <v>-0.06422621722802029</v>
      </c>
      <c r="F418" s="27">
        <v>0.05</v>
      </c>
      <c r="G418" s="34">
        <v>-1.0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23" t="s">
        <v>466</v>
      </c>
      <c r="C419" s="32">
        <v>1872.776</v>
      </c>
      <c r="D419" s="26">
        <v>-120.617</v>
      </c>
      <c r="E419" s="33">
        <v>-0.06440546012977526</v>
      </c>
      <c r="F419" s="27">
        <v>0.05</v>
      </c>
      <c r="G419" s="34">
        <v>-1.0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23" t="s">
        <v>467</v>
      </c>
      <c r="C420" s="32">
        <v>15284.63</v>
      </c>
      <c r="D420" s="26">
        <v>-1049.216</v>
      </c>
      <c r="E420" s="33">
        <v>-0.06864516838157024</v>
      </c>
      <c r="F420" s="27">
        <v>0.05</v>
      </c>
      <c r="G420" s="34">
        <v>-1.0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23" t="s">
        <v>468</v>
      </c>
      <c r="C421" s="32">
        <v>827.83</v>
      </c>
      <c r="D421" s="26">
        <v>-57.73</v>
      </c>
      <c r="E421" s="33">
        <v>-0.06973654011089232</v>
      </c>
      <c r="F421" s="27">
        <v>0.05</v>
      </c>
      <c r="G421" s="34">
        <v>-1.0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23" t="s">
        <v>469</v>
      </c>
      <c r="C422" s="32">
        <v>1626.1175</v>
      </c>
      <c r="D422" s="26">
        <v>-115.099</v>
      </c>
      <c r="E422" s="33">
        <v>-0.07078147796822801</v>
      </c>
      <c r="F422" s="27">
        <v>0.05</v>
      </c>
      <c r="G422" s="34">
        <v>-1.0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23" t="s">
        <v>470</v>
      </c>
      <c r="C423" s="32">
        <v>4744.96</v>
      </c>
      <c r="D423" s="26">
        <v>-342.91</v>
      </c>
      <c r="E423" s="33">
        <v>-0.072268259374157</v>
      </c>
      <c r="F423" s="27">
        <v>0.05</v>
      </c>
      <c r="G423" s="34">
        <v>-1.0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23" t="s">
        <v>471</v>
      </c>
      <c r="C424" s="32">
        <v>17620.716</v>
      </c>
      <c r="D424" s="26">
        <v>-1298.1495</v>
      </c>
      <c r="E424" s="33">
        <v>-0.07367177928524585</v>
      </c>
      <c r="F424" s="27">
        <v>0.05</v>
      </c>
      <c r="G424" s="34">
        <v>-1.0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23" t="s">
        <v>472</v>
      </c>
      <c r="C425" s="32">
        <v>11540.3985</v>
      </c>
      <c r="D425" s="26">
        <v>-866.1195</v>
      </c>
      <c r="E425" s="33">
        <v>-0.07505109117332474</v>
      </c>
      <c r="F425" s="27">
        <v>0.05</v>
      </c>
      <c r="G425" s="34">
        <v>-1.0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23" t="s">
        <v>473</v>
      </c>
      <c r="C426" s="32">
        <v>10174.494</v>
      </c>
      <c r="D426" s="26">
        <v>-790.78</v>
      </c>
      <c r="E426" s="33">
        <v>-0.077721801202104</v>
      </c>
      <c r="F426" s="27">
        <v>0.05</v>
      </c>
      <c r="G426" s="34">
        <v>-1.0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23" t="s">
        <v>474</v>
      </c>
      <c r="C427" s="32">
        <v>6319.0005</v>
      </c>
      <c r="D427" s="26">
        <v>-492.787</v>
      </c>
      <c r="E427" s="33">
        <v>-0.0779849598049565</v>
      </c>
      <c r="F427" s="27">
        <v>0.05</v>
      </c>
      <c r="G427" s="34">
        <v>-1.0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23" t="s">
        <v>475</v>
      </c>
      <c r="C428" s="32">
        <v>9902.653</v>
      </c>
      <c r="D428" s="26">
        <v>-800.04</v>
      </c>
      <c r="E428" s="33">
        <v>-0.08079047099802446</v>
      </c>
      <c r="F428" s="27">
        <v>0.05</v>
      </c>
      <c r="G428" s="34">
        <v>-1.0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23" t="s">
        <v>476</v>
      </c>
      <c r="C429" s="32">
        <v>18917.65</v>
      </c>
      <c r="D429" s="26">
        <v>-1647.956</v>
      </c>
      <c r="E429" s="33">
        <v>-0.08711208844650364</v>
      </c>
      <c r="F429" s="27">
        <v>0.05</v>
      </c>
      <c r="G429" s="34">
        <v>-1.0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23" t="s">
        <v>477</v>
      </c>
      <c r="C430" s="32">
        <v>13210.02</v>
      </c>
      <c r="D430" s="26">
        <v>-1153.067</v>
      </c>
      <c r="E430" s="33">
        <v>-0.08728730160893018</v>
      </c>
      <c r="F430" s="27">
        <v>0.05</v>
      </c>
      <c r="G430" s="34">
        <v>-1.0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23" t="s">
        <v>478</v>
      </c>
      <c r="C431" s="32">
        <v>16826.269</v>
      </c>
      <c r="D431" s="26">
        <v>-1472.0105</v>
      </c>
      <c r="E431" s="33">
        <v>-0.08748288167745327</v>
      </c>
      <c r="F431" s="27">
        <v>0.05</v>
      </c>
      <c r="G431" s="34">
        <v>-1.0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23" t="s">
        <v>479</v>
      </c>
      <c r="C432" s="32">
        <v>13261.752</v>
      </c>
      <c r="D432" s="26">
        <v>-1287.7573</v>
      </c>
      <c r="E432" s="33">
        <v>-0.09710310523074175</v>
      </c>
      <c r="F432" s="27">
        <v>0.05</v>
      </c>
      <c r="G432" s="34">
        <v>-1.0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23" t="s">
        <v>480</v>
      </c>
      <c r="C433" s="32">
        <v>20551.798</v>
      </c>
      <c r="D433" s="26">
        <v>-2032.3385</v>
      </c>
      <c r="E433" s="33">
        <v>-0.09888859845741965</v>
      </c>
      <c r="F433" s="27">
        <v>0.05</v>
      </c>
      <c r="G433" s="34">
        <v>-1.0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23" t="s">
        <v>481</v>
      </c>
      <c r="C434" s="32">
        <v>38926.4855</v>
      </c>
      <c r="D434" s="26">
        <v>-3944.1483</v>
      </c>
      <c r="E434" s="33">
        <v>-0.10132300024876378</v>
      </c>
      <c r="F434" s="27">
        <v>0.05</v>
      </c>
      <c r="G434" s="34">
        <v>-1.0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23" t="s">
        <v>482</v>
      </c>
      <c r="C435" s="32">
        <v>11006.6405</v>
      </c>
      <c r="D435" s="26">
        <v>-1119.6948</v>
      </c>
      <c r="E435" s="33">
        <v>-0.10172902440122397</v>
      </c>
      <c r="F435" s="27">
        <v>0.05</v>
      </c>
      <c r="G435" s="34">
        <v>-1.0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23" t="s">
        <v>483</v>
      </c>
      <c r="C436" s="32">
        <v>43359.2365</v>
      </c>
      <c r="D436" s="26">
        <v>-4449.1429</v>
      </c>
      <c r="E436" s="33">
        <v>-0.10261119104345852</v>
      </c>
      <c r="F436" s="27">
        <v>0.05</v>
      </c>
      <c r="G436" s="34">
        <v>-1.0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23" t="s">
        <v>484</v>
      </c>
      <c r="C437" s="32">
        <v>7162.7345</v>
      </c>
      <c r="D437" s="26">
        <v>-741.663</v>
      </c>
      <c r="E437" s="33">
        <v>-0.10354467277825251</v>
      </c>
      <c r="F437" s="27">
        <v>0.05</v>
      </c>
      <c r="G437" s="34">
        <v>-1.0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23" t="s">
        <v>485</v>
      </c>
      <c r="C438" s="32">
        <v>27124.226</v>
      </c>
      <c r="D438" s="26">
        <v>-2810.5145</v>
      </c>
      <c r="E438" s="33">
        <v>-0.10361639443647168</v>
      </c>
      <c r="F438" s="27">
        <v>0.05</v>
      </c>
      <c r="G438" s="34">
        <v>-1.0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23" t="s">
        <v>486</v>
      </c>
      <c r="C439" s="32">
        <v>32912.737</v>
      </c>
      <c r="D439" s="26">
        <v>-3467.3086</v>
      </c>
      <c r="E439" s="33">
        <v>-0.1053485342164038</v>
      </c>
      <c r="F439" s="27">
        <v>0.05</v>
      </c>
      <c r="G439" s="34">
        <v>-1.0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23" t="s">
        <v>487</v>
      </c>
      <c r="C440" s="32">
        <v>3008.854</v>
      </c>
      <c r="D440" s="26">
        <v>-318.553</v>
      </c>
      <c r="E440" s="33">
        <v>-0.10587187015388584</v>
      </c>
      <c r="F440" s="27">
        <v>0.05</v>
      </c>
      <c r="G440" s="34">
        <v>-1.0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23" t="s">
        <v>488</v>
      </c>
      <c r="C441" s="32">
        <v>20004.2405</v>
      </c>
      <c r="D441" s="26">
        <v>-2131.0599</v>
      </c>
      <c r="E441" s="33">
        <v>-0.10653040789026708</v>
      </c>
      <c r="F441" s="27">
        <v>0.05</v>
      </c>
      <c r="G441" s="34">
        <v>-1.0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23" t="s">
        <v>489</v>
      </c>
      <c r="C442" s="32">
        <v>1713.06</v>
      </c>
      <c r="D442" s="26">
        <v>-183.035</v>
      </c>
      <c r="E442" s="33">
        <v>-0.10684681213734487</v>
      </c>
      <c r="F442" s="27">
        <v>0.05</v>
      </c>
      <c r="G442" s="34">
        <v>-1.0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23" t="s">
        <v>490</v>
      </c>
      <c r="C443" s="32">
        <v>28517.012</v>
      </c>
      <c r="D443" s="26">
        <v>-3091.467</v>
      </c>
      <c r="E443" s="33">
        <v>-0.1084078163588808</v>
      </c>
      <c r="F443" s="27">
        <v>0.05</v>
      </c>
      <c r="G443" s="34">
        <v>-1.0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23" t="s">
        <v>491</v>
      </c>
      <c r="C444" s="32">
        <v>16934.756</v>
      </c>
      <c r="D444" s="26">
        <v>-1898.7284</v>
      </c>
      <c r="E444" s="33">
        <v>-0.11212021005794237</v>
      </c>
      <c r="F444" s="27">
        <v>0.05</v>
      </c>
      <c r="G444" s="34">
        <v>-1.0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23" t="s">
        <v>492</v>
      </c>
      <c r="C445" s="32">
        <v>11474.28</v>
      </c>
      <c r="D445" s="26">
        <v>-1304.047</v>
      </c>
      <c r="E445" s="33">
        <v>-0.11364957104062302</v>
      </c>
      <c r="F445" s="27">
        <v>0.05</v>
      </c>
      <c r="G445" s="34">
        <v>-1.0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23" t="s">
        <v>493</v>
      </c>
      <c r="C446" s="32">
        <v>35922.2805</v>
      </c>
      <c r="D446" s="26">
        <v>-4109.5548</v>
      </c>
      <c r="E446" s="33">
        <v>-0.11440127805916998</v>
      </c>
      <c r="F446" s="27">
        <v>0.05</v>
      </c>
      <c r="G446" s="34">
        <v>-1.0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23" t="s">
        <v>494</v>
      </c>
      <c r="C447" s="32">
        <v>6993.5405</v>
      </c>
      <c r="D447" s="26">
        <v>-807.1567</v>
      </c>
      <c r="E447" s="33">
        <v>-0.11541460294681928</v>
      </c>
      <c r="F447" s="27">
        <v>0.05</v>
      </c>
      <c r="G447" s="34">
        <v>-1.0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23" t="s">
        <v>495</v>
      </c>
      <c r="C448" s="32">
        <v>37442.455</v>
      </c>
      <c r="D448" s="26">
        <v>-4383.277</v>
      </c>
      <c r="E448" s="33">
        <v>-0.11706702992632294</v>
      </c>
      <c r="F448" s="27">
        <v>0.05</v>
      </c>
      <c r="G448" s="34">
        <v>-1.0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23" t="s">
        <v>496</v>
      </c>
      <c r="C449" s="32">
        <v>24084.024</v>
      </c>
      <c r="D449" s="26">
        <v>-2854.232</v>
      </c>
      <c r="E449" s="33">
        <v>-0.11851142483498604</v>
      </c>
      <c r="F449" s="27">
        <v>0.05</v>
      </c>
      <c r="G449" s="34">
        <v>-1.0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23" t="s">
        <v>497</v>
      </c>
      <c r="C450" s="32">
        <v>81.12</v>
      </c>
      <c r="D450" s="26">
        <v>-9.63</v>
      </c>
      <c r="E450" s="33">
        <v>-0.1187130177514793</v>
      </c>
      <c r="F450" s="27">
        <v>0.05</v>
      </c>
      <c r="G450" s="34">
        <v>-1.0</v>
      </c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23" t="s">
        <v>498</v>
      </c>
      <c r="C451" s="32">
        <v>343.36</v>
      </c>
      <c r="D451" s="26">
        <v>-41.27</v>
      </c>
      <c r="E451" s="33">
        <v>-0.12019454799627213</v>
      </c>
      <c r="F451" s="27">
        <v>0.05</v>
      </c>
      <c r="G451" s="34">
        <v>-1.0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23" t="s">
        <v>499</v>
      </c>
      <c r="C452" s="32">
        <v>24159.631</v>
      </c>
      <c r="D452" s="26">
        <v>-2907.5727</v>
      </c>
      <c r="E452" s="33">
        <v>-0.12034839025480148</v>
      </c>
      <c r="F452" s="27">
        <v>0.05</v>
      </c>
      <c r="G452" s="34">
        <v>-1.0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23" t="s">
        <v>500</v>
      </c>
      <c r="C453" s="32">
        <v>1600.85</v>
      </c>
      <c r="D453" s="26">
        <v>-193.97</v>
      </c>
      <c r="E453" s="33">
        <v>-0.12116688009494957</v>
      </c>
      <c r="F453" s="27">
        <v>0.05</v>
      </c>
      <c r="G453" s="34">
        <v>-1.0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23" t="s">
        <v>501</v>
      </c>
      <c r="C454" s="32">
        <v>5207.3045</v>
      </c>
      <c r="D454" s="26">
        <v>-634.52</v>
      </c>
      <c r="E454" s="33">
        <v>-0.12185191013892119</v>
      </c>
      <c r="F454" s="27">
        <v>0.05</v>
      </c>
      <c r="G454" s="34">
        <v>-1.0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23" t="s">
        <v>502</v>
      </c>
      <c r="C455" s="32">
        <v>996.541</v>
      </c>
      <c r="D455" s="26">
        <v>-125.0955</v>
      </c>
      <c r="E455" s="33">
        <v>-0.12552970725740334</v>
      </c>
      <c r="F455" s="27">
        <v>0.05</v>
      </c>
      <c r="G455" s="34">
        <v>-1.0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23" t="s">
        <v>503</v>
      </c>
      <c r="C456" s="32">
        <v>5615.6935</v>
      </c>
      <c r="D456" s="26">
        <v>-764.5572</v>
      </c>
      <c r="E456" s="33">
        <v>-0.13614653292598677</v>
      </c>
      <c r="F456" s="27">
        <v>0.05</v>
      </c>
      <c r="G456" s="34">
        <v>-1.0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23" t="s">
        <v>504</v>
      </c>
      <c r="C457" s="32">
        <v>1627.75</v>
      </c>
      <c r="D457" s="26">
        <v>-223.11</v>
      </c>
      <c r="E457" s="33">
        <v>-0.13706650284134542</v>
      </c>
      <c r="F457" s="27">
        <v>0.05</v>
      </c>
      <c r="G457" s="34">
        <v>-1.0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23" t="s">
        <v>505</v>
      </c>
      <c r="C458" s="32">
        <v>6971.7</v>
      </c>
      <c r="D458" s="26">
        <v>-977.6134</v>
      </c>
      <c r="E458" s="33">
        <v>-0.14022597071015677</v>
      </c>
      <c r="F458" s="27">
        <v>0.05</v>
      </c>
      <c r="G458" s="34">
        <v>-1.0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23" t="s">
        <v>506</v>
      </c>
      <c r="C459" s="32">
        <v>38255.871</v>
      </c>
      <c r="D459" s="26">
        <v>-5373.9164</v>
      </c>
      <c r="E459" s="33">
        <v>-0.14047298517918988</v>
      </c>
      <c r="F459" s="27">
        <v>0.05</v>
      </c>
      <c r="G459" s="34">
        <v>-1.0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23" t="s">
        <v>507</v>
      </c>
      <c r="C460" s="32">
        <v>7890.462</v>
      </c>
      <c r="D460" s="26">
        <v>-1109.8065</v>
      </c>
      <c r="E460" s="33">
        <v>-0.140651650055472</v>
      </c>
      <c r="F460" s="27">
        <v>0.05</v>
      </c>
      <c r="G460" s="34">
        <v>-1.0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23" t="s">
        <v>508</v>
      </c>
      <c r="C461" s="32">
        <v>5286.4545</v>
      </c>
      <c r="D461" s="26">
        <v>-755.401</v>
      </c>
      <c r="E461" s="33">
        <v>-0.14289369179286418</v>
      </c>
      <c r="F461" s="27">
        <v>0.05</v>
      </c>
      <c r="G461" s="34">
        <v>-1.0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23" t="s">
        <v>509</v>
      </c>
      <c r="C462" s="32">
        <v>4322.26</v>
      </c>
      <c r="D462" s="26">
        <v>-618.95</v>
      </c>
      <c r="E462" s="33">
        <v>-0.1432005478615354</v>
      </c>
      <c r="F462" s="27">
        <v>0.05</v>
      </c>
      <c r="G462" s="34">
        <v>-1.0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23" t="s">
        <v>510</v>
      </c>
      <c r="C463" s="32">
        <v>3616.4545</v>
      </c>
      <c r="D463" s="26">
        <v>-518.8394</v>
      </c>
      <c r="E463" s="33">
        <v>-0.143466314867227</v>
      </c>
      <c r="F463" s="27">
        <v>0.05</v>
      </c>
      <c r="G463" s="34">
        <v>-1.0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23" t="s">
        <v>511</v>
      </c>
      <c r="C464" s="32">
        <v>373.72</v>
      </c>
      <c r="D464" s="26">
        <v>-54.35</v>
      </c>
      <c r="E464" s="33">
        <v>-0.1454297334903136</v>
      </c>
      <c r="F464" s="27">
        <v>0.05</v>
      </c>
      <c r="G464" s="34">
        <v>-1.0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23" t="s">
        <v>512</v>
      </c>
      <c r="C465" s="32">
        <v>59426.5905</v>
      </c>
      <c r="D465" s="26">
        <v>-8758.0754</v>
      </c>
      <c r="E465" s="33">
        <v>-0.1473763735444321</v>
      </c>
      <c r="F465" s="27">
        <v>0.05</v>
      </c>
      <c r="G465" s="34">
        <v>-1.0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23" t="s">
        <v>513</v>
      </c>
      <c r="C466" s="32">
        <v>2537.88</v>
      </c>
      <c r="D466" s="26">
        <v>-377.25</v>
      </c>
      <c r="E466" s="33">
        <v>-0.1486476901981181</v>
      </c>
      <c r="F466" s="27">
        <v>0.05</v>
      </c>
      <c r="G466" s="34">
        <v>-1.0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23" t="s">
        <v>514</v>
      </c>
      <c r="C467" s="32">
        <v>862.28</v>
      </c>
      <c r="D467" s="26">
        <v>-128.55</v>
      </c>
      <c r="E467" s="33">
        <v>-0.14908150484761332</v>
      </c>
      <c r="F467" s="27">
        <v>0.05</v>
      </c>
      <c r="G467" s="34">
        <v>-1.0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23" t="s">
        <v>515</v>
      </c>
      <c r="C468" s="32">
        <v>18904.71</v>
      </c>
      <c r="D468" s="26">
        <v>-2909.3742</v>
      </c>
      <c r="E468" s="33">
        <v>-0.1538967907997531</v>
      </c>
      <c r="F468" s="27">
        <v>0.05</v>
      </c>
      <c r="G468" s="34">
        <v>-1.0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23" t="s">
        <v>516</v>
      </c>
      <c r="C469" s="32">
        <v>1559.52</v>
      </c>
      <c r="D469" s="26">
        <v>-246.03</v>
      </c>
      <c r="E469" s="33">
        <v>-0.15776008002462297</v>
      </c>
      <c r="F469" s="27">
        <v>0.05</v>
      </c>
      <c r="G469" s="34">
        <v>-1.0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23" t="s">
        <v>517</v>
      </c>
      <c r="C470" s="32">
        <v>19758.8745</v>
      </c>
      <c r="D470" s="26">
        <v>-3125.206</v>
      </c>
      <c r="E470" s="33">
        <v>-0.15816720734776668</v>
      </c>
      <c r="F470" s="27">
        <v>0.05</v>
      </c>
      <c r="G470" s="34">
        <v>-1.0</v>
      </c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23" t="s">
        <v>518</v>
      </c>
      <c r="C471" s="32">
        <v>13387.5265</v>
      </c>
      <c r="D471" s="26">
        <v>-2128.4275</v>
      </c>
      <c r="E471" s="33">
        <v>-0.15898586643320556</v>
      </c>
      <c r="F471" s="27">
        <v>0.05</v>
      </c>
      <c r="G471" s="34">
        <v>-1.0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23" t="s">
        <v>519</v>
      </c>
      <c r="C472" s="32">
        <v>4705.142</v>
      </c>
      <c r="D472" s="26">
        <v>-761.8482</v>
      </c>
      <c r="E472" s="33">
        <v>-0.1619182162833768</v>
      </c>
      <c r="F472" s="27">
        <v>0.05</v>
      </c>
      <c r="G472" s="34">
        <v>-1.0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23" t="s">
        <v>520</v>
      </c>
      <c r="C473" s="32">
        <v>11636.2</v>
      </c>
      <c r="D473" s="26">
        <v>-1918.8308</v>
      </c>
      <c r="E473" s="33">
        <v>-0.16490184080713632</v>
      </c>
      <c r="F473" s="27">
        <v>0.05</v>
      </c>
      <c r="G473" s="34">
        <v>-1.0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23" t="s">
        <v>521</v>
      </c>
      <c r="C474" s="32">
        <v>37063.1835</v>
      </c>
      <c r="D474" s="26">
        <v>-6181.398</v>
      </c>
      <c r="E474" s="33">
        <v>-0.16678000690361636</v>
      </c>
      <c r="F474" s="27">
        <v>0.05</v>
      </c>
      <c r="G474" s="34">
        <v>-1.0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23" t="s">
        <v>522</v>
      </c>
      <c r="C475" s="32">
        <v>8699.82</v>
      </c>
      <c r="D475" s="26">
        <v>-1499.31</v>
      </c>
      <c r="E475" s="33">
        <v>-0.17233804837341463</v>
      </c>
      <c r="F475" s="27">
        <v>0.05</v>
      </c>
      <c r="G475" s="34">
        <v>-1.0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23" t="s">
        <v>523</v>
      </c>
      <c r="C476" s="32">
        <v>35972.455</v>
      </c>
      <c r="D476" s="26">
        <v>-6231.9735</v>
      </c>
      <c r="E476" s="33">
        <v>-0.17324292990289375</v>
      </c>
      <c r="F476" s="27">
        <v>0.05</v>
      </c>
      <c r="G476" s="34">
        <v>-1.0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23" t="s">
        <v>524</v>
      </c>
      <c r="C477" s="32">
        <v>3769.157</v>
      </c>
      <c r="D477" s="26">
        <v>-654.783</v>
      </c>
      <c r="E477" s="33">
        <v>-0.1737213387502829</v>
      </c>
      <c r="F477" s="27">
        <v>0.05</v>
      </c>
      <c r="G477" s="34">
        <v>-1.0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23" t="s">
        <v>525</v>
      </c>
      <c r="C478" s="32">
        <v>14967.8245</v>
      </c>
      <c r="D478" s="26">
        <v>-2629.8962</v>
      </c>
      <c r="E478" s="33">
        <v>-0.17570330277456153</v>
      </c>
      <c r="F478" s="27">
        <v>0.05</v>
      </c>
      <c r="G478" s="34">
        <v>-1.0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23" t="s">
        <v>526</v>
      </c>
      <c r="C479" s="32">
        <v>11832.687</v>
      </c>
      <c r="D479" s="26">
        <v>-2102.0598</v>
      </c>
      <c r="E479" s="33">
        <v>-0.1776485594523036</v>
      </c>
      <c r="F479" s="27">
        <v>0.05</v>
      </c>
      <c r="G479" s="34">
        <v>-1.0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23" t="s">
        <v>527</v>
      </c>
      <c r="C480" s="32">
        <v>1234.58</v>
      </c>
      <c r="D480" s="26">
        <v>-230.45</v>
      </c>
      <c r="E480" s="33">
        <v>-0.1866626707058271</v>
      </c>
      <c r="F480" s="27">
        <v>0.05</v>
      </c>
      <c r="G480" s="34">
        <v>-1.0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23" t="s">
        <v>528</v>
      </c>
      <c r="C481" s="32">
        <v>2807.7775</v>
      </c>
      <c r="D481" s="26">
        <v>-527.2355</v>
      </c>
      <c r="E481" s="33">
        <v>-0.18777680923791146</v>
      </c>
      <c r="F481" s="27">
        <v>0.05</v>
      </c>
      <c r="G481" s="34">
        <v>-1.0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23" t="s">
        <v>529</v>
      </c>
      <c r="C482" s="32">
        <v>4490.41</v>
      </c>
      <c r="D482" s="26">
        <v>-928.44</v>
      </c>
      <c r="E482" s="33">
        <v>-0.2067606298756684</v>
      </c>
      <c r="F482" s="27">
        <v>0.05</v>
      </c>
      <c r="G482" s="34">
        <v>-1.0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23" t="s">
        <v>530</v>
      </c>
      <c r="C483" s="32">
        <v>7240.56</v>
      </c>
      <c r="D483" s="26">
        <v>-1502.147</v>
      </c>
      <c r="E483" s="33">
        <v>-0.20746282055531615</v>
      </c>
      <c r="F483" s="27">
        <v>0.05</v>
      </c>
      <c r="G483" s="34">
        <v>-1.0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23" t="s">
        <v>531</v>
      </c>
      <c r="C484" s="32">
        <v>8024.62</v>
      </c>
      <c r="D484" s="26">
        <v>-1795.1485</v>
      </c>
      <c r="E484" s="33">
        <v>-0.22370511002390145</v>
      </c>
      <c r="F484" s="27">
        <v>0.05</v>
      </c>
      <c r="G484" s="34">
        <v>-1.0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23" t="s">
        <v>532</v>
      </c>
      <c r="C485" s="32">
        <v>66223.8425</v>
      </c>
      <c r="D485" s="26">
        <v>-15579.5152</v>
      </c>
      <c r="E485" s="33">
        <v>-0.2352553795107857</v>
      </c>
      <c r="F485" s="27">
        <v>0.05</v>
      </c>
      <c r="G485" s="34">
        <v>-1.0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23" t="s">
        <v>533</v>
      </c>
      <c r="C486" s="32">
        <v>5163.3885</v>
      </c>
      <c r="D486" s="26">
        <v>-1222.322</v>
      </c>
      <c r="E486" s="33">
        <v>-0.2367286521244721</v>
      </c>
      <c r="F486" s="27">
        <v>0.05</v>
      </c>
      <c r="G486" s="34">
        <v>-1.0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23" t="s">
        <v>534</v>
      </c>
      <c r="C487" s="32">
        <v>43907.2735</v>
      </c>
      <c r="D487" s="26">
        <v>-10495.1681</v>
      </c>
      <c r="E487" s="33">
        <v>-0.23903028503922022</v>
      </c>
      <c r="F487" s="27">
        <v>0.05</v>
      </c>
      <c r="G487" s="34">
        <v>-1.0</v>
      </c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23" t="s">
        <v>535</v>
      </c>
      <c r="C488" s="32">
        <v>264.63</v>
      </c>
      <c r="D488" s="26">
        <v>-66.78</v>
      </c>
      <c r="E488" s="33">
        <v>-0.2523523410044213</v>
      </c>
      <c r="F488" s="27">
        <v>0.05</v>
      </c>
      <c r="G488" s="34">
        <v>-1.0</v>
      </c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23" t="s">
        <v>536</v>
      </c>
      <c r="C489" s="32">
        <v>11404.05</v>
      </c>
      <c r="D489" s="26">
        <v>-2885.751</v>
      </c>
      <c r="E489" s="33">
        <v>-0.25304615465558294</v>
      </c>
      <c r="F489" s="27">
        <v>0.05</v>
      </c>
      <c r="G489" s="34">
        <v>-1.0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23" t="s">
        <v>537</v>
      </c>
      <c r="C490" s="32">
        <v>3550.39</v>
      </c>
      <c r="D490" s="26">
        <v>-899.3215</v>
      </c>
      <c r="E490" s="33">
        <v>-0.2533021724373942</v>
      </c>
      <c r="F490" s="27">
        <v>0.05</v>
      </c>
      <c r="G490" s="34">
        <v>-1.0</v>
      </c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23" t="s">
        <v>538</v>
      </c>
      <c r="C491" s="32">
        <v>53002.059</v>
      </c>
      <c r="D491" s="26">
        <v>-14441.4041</v>
      </c>
      <c r="E491" s="33">
        <v>-0.27246873748810396</v>
      </c>
      <c r="F491" s="27">
        <v>0.05</v>
      </c>
      <c r="G491" s="34">
        <v>-1.0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23" t="s">
        <v>539</v>
      </c>
      <c r="C492" s="32">
        <v>7726.94</v>
      </c>
      <c r="D492" s="26">
        <v>-2140.4836</v>
      </c>
      <c r="E492" s="33">
        <v>-0.27701568796962317</v>
      </c>
      <c r="F492" s="27">
        <v>0.05</v>
      </c>
      <c r="G492" s="34">
        <v>-1.0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23" t="s">
        <v>540</v>
      </c>
      <c r="C493" s="32">
        <v>7470.657</v>
      </c>
      <c r="D493" s="26">
        <v>-2107.183</v>
      </c>
      <c r="E493" s="33">
        <v>-0.28206126984547675</v>
      </c>
      <c r="F493" s="27">
        <v>0.05</v>
      </c>
      <c r="G493" s="34">
        <v>-1.0</v>
      </c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23" t="s">
        <v>541</v>
      </c>
      <c r="C494" s="32">
        <v>612.6</v>
      </c>
      <c r="D494" s="26">
        <v>-187.7587</v>
      </c>
      <c r="E494" s="33">
        <v>-0.3064947763630428</v>
      </c>
      <c r="F494" s="27">
        <v>0.05</v>
      </c>
      <c r="G494" s="34">
        <v>-1.0</v>
      </c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23" t="s">
        <v>542</v>
      </c>
      <c r="C495" s="32">
        <v>3732.25</v>
      </c>
      <c r="D495" s="26">
        <v>-1255.86</v>
      </c>
      <c r="E495" s="33">
        <v>-0.336488713242682</v>
      </c>
      <c r="F495" s="27">
        <v>0.05</v>
      </c>
      <c r="G495" s="34">
        <v>-1.0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23" t="s">
        <v>543</v>
      </c>
      <c r="C496" s="32">
        <v>9750.57</v>
      </c>
      <c r="D496" s="26">
        <v>-3548.232</v>
      </c>
      <c r="E496" s="33">
        <v>-0.3638999566179208</v>
      </c>
      <c r="F496" s="27">
        <v>0.05</v>
      </c>
      <c r="G496" s="34">
        <v>-1.0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23" t="s">
        <v>544</v>
      </c>
      <c r="C497" s="32">
        <v>1910.0415</v>
      </c>
      <c r="D497" s="26">
        <v>-704.567</v>
      </c>
      <c r="E497" s="33">
        <v>-0.36887523124497557</v>
      </c>
      <c r="F497" s="27">
        <v>0.05</v>
      </c>
      <c r="G497" s="34">
        <v>-1.0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23" t="s">
        <v>545</v>
      </c>
      <c r="C498" s="32">
        <v>9113.4925</v>
      </c>
      <c r="D498" s="26">
        <v>-3484.3172</v>
      </c>
      <c r="E498" s="33">
        <v>-0.3823251294714951</v>
      </c>
      <c r="F498" s="27">
        <v>0.05</v>
      </c>
      <c r="G498" s="34">
        <v>-1.0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23" t="s">
        <v>546</v>
      </c>
      <c r="C499" s="32">
        <v>2227.26</v>
      </c>
      <c r="D499" s="26">
        <v>-873.086</v>
      </c>
      <c r="E499" s="33">
        <v>-0.3920000359185726</v>
      </c>
      <c r="F499" s="27">
        <v>0.05</v>
      </c>
      <c r="G499" s="34">
        <v>-1.0</v>
      </c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23" t="s">
        <v>547</v>
      </c>
      <c r="C500" s="32">
        <v>677.53</v>
      </c>
      <c r="D500" s="26">
        <v>-281.036</v>
      </c>
      <c r="E500" s="33">
        <v>-0.4147949168302511</v>
      </c>
      <c r="F500" s="27">
        <v>0.05</v>
      </c>
      <c r="G500" s="34">
        <v>-1.0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23" t="s">
        <v>548</v>
      </c>
      <c r="C501" s="32">
        <v>20584.88</v>
      </c>
      <c r="D501" s="26">
        <v>-10368.6097</v>
      </c>
      <c r="E501" s="33">
        <v>-0.5037002741818267</v>
      </c>
      <c r="F501" s="27">
        <v>0.05</v>
      </c>
      <c r="G501" s="34">
        <v>-1.0</v>
      </c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23" t="s">
        <v>549</v>
      </c>
      <c r="C502" s="32">
        <v>274.71</v>
      </c>
      <c r="D502" s="26">
        <v>-156.33</v>
      </c>
      <c r="E502" s="33">
        <v>-0.5690728404499291</v>
      </c>
      <c r="F502" s="27">
        <v>0.05</v>
      </c>
      <c r="G502" s="34">
        <v>-1.0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23" t="s">
        <v>550</v>
      </c>
      <c r="C503" s="32">
        <v>16160.86</v>
      </c>
      <c r="D503" s="26">
        <v>-9857.7889</v>
      </c>
      <c r="E503" s="33">
        <v>-0.6099792275906109</v>
      </c>
      <c r="F503" s="27">
        <v>0.05</v>
      </c>
      <c r="G503" s="34">
        <v>-1.0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23" t="s">
        <v>551</v>
      </c>
      <c r="C504" s="32">
        <v>233.04</v>
      </c>
      <c r="D504" s="26">
        <v>-143.62</v>
      </c>
      <c r="E504" s="33">
        <v>-0.6162890490902849</v>
      </c>
      <c r="F504" s="27">
        <v>0.05</v>
      </c>
      <c r="G504" s="34">
        <v>-1.0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23" t="s">
        <v>552</v>
      </c>
      <c r="C505" s="32">
        <v>1239.73</v>
      </c>
      <c r="D505" s="26">
        <v>-768.2105</v>
      </c>
      <c r="E505" s="33">
        <v>-0.6196595226379937</v>
      </c>
      <c r="F505" s="27">
        <v>0.05</v>
      </c>
      <c r="G505" s="34">
        <v>-1.0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23" t="s">
        <v>553</v>
      </c>
      <c r="C506" s="32">
        <v>34.88</v>
      </c>
      <c r="D506" s="26">
        <v>-22.12</v>
      </c>
      <c r="E506" s="33">
        <v>-0.6341743119266054</v>
      </c>
      <c r="F506" s="27">
        <v>0.05</v>
      </c>
      <c r="G506" s="34">
        <v>-1.0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23" t="s">
        <v>554</v>
      </c>
      <c r="C507" s="32">
        <v>50.93</v>
      </c>
      <c r="D507" s="26">
        <v>-34.98</v>
      </c>
      <c r="E507" s="33">
        <v>-0.6868250539956803</v>
      </c>
      <c r="F507" s="27">
        <v>0.05</v>
      </c>
      <c r="G507" s="34">
        <v>-1.0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23" t="s">
        <v>555</v>
      </c>
      <c r="C508" s="32">
        <v>2110.21</v>
      </c>
      <c r="D508" s="26">
        <v>-1527.2</v>
      </c>
      <c r="E508" s="33">
        <v>-0.7237194402452837</v>
      </c>
      <c r="F508" s="27">
        <v>0.05</v>
      </c>
      <c r="G508" s="34">
        <v>-1.0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23" t="s">
        <v>556</v>
      </c>
      <c r="C509" s="32">
        <v>2515.13</v>
      </c>
      <c r="D509" s="26">
        <v>-2384.6552</v>
      </c>
      <c r="E509" s="33">
        <v>-0.9481240333501648</v>
      </c>
      <c r="F509" s="27">
        <v>0.05</v>
      </c>
      <c r="G509" s="34">
        <v>-1.0</v>
      </c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23" t="s">
        <v>557</v>
      </c>
      <c r="C510" s="32">
        <v>7679.576</v>
      </c>
      <c r="D510" s="26">
        <v>-8107.6999</v>
      </c>
      <c r="E510" s="33">
        <v>-1.055748377254161</v>
      </c>
      <c r="F510" s="27">
        <v>0.05</v>
      </c>
      <c r="G510" s="34">
        <v>-1.0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23" t="s">
        <v>558</v>
      </c>
      <c r="C511" s="32">
        <v>1537.94</v>
      </c>
      <c r="D511" s="26">
        <v>-1679.2404</v>
      </c>
      <c r="E511" s="33">
        <v>-1.0918764061016684</v>
      </c>
      <c r="F511" s="27">
        <v>0.05</v>
      </c>
      <c r="G511" s="34">
        <v>-1.0</v>
      </c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23" t="s">
        <v>559</v>
      </c>
      <c r="C512" s="32">
        <v>74.3</v>
      </c>
      <c r="D512" s="26">
        <v>-129.01</v>
      </c>
      <c r="E512" s="33">
        <v>-1.7363391655450875</v>
      </c>
      <c r="F512" s="27">
        <v>0.05</v>
      </c>
      <c r="G512" s="34">
        <v>-1.0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23" t="s">
        <v>560</v>
      </c>
      <c r="C513" s="32">
        <v>107.67</v>
      </c>
      <c r="D513" s="26">
        <v>-234.66</v>
      </c>
      <c r="E513" s="33">
        <v>-2.179437169127891</v>
      </c>
      <c r="F513" s="27">
        <v>0.05</v>
      </c>
      <c r="G513" s="34">
        <v>-1.0</v>
      </c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23" t="s">
        <v>561</v>
      </c>
      <c r="C514" s="32">
        <v>5107.4</v>
      </c>
      <c r="D514" s="26">
        <v>-12005.6325</v>
      </c>
      <c r="E514" s="33">
        <v>-2.3506348631397582</v>
      </c>
      <c r="F514" s="27">
        <v>0.05</v>
      </c>
      <c r="G514" s="34">
        <v>-1.0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23" t="s">
        <v>562</v>
      </c>
      <c r="C515" s="32">
        <v>143.667</v>
      </c>
      <c r="D515" s="26">
        <v>-363.55</v>
      </c>
      <c r="E515" s="33">
        <v>-2.5305045695949664</v>
      </c>
      <c r="F515" s="27">
        <v>0.05</v>
      </c>
      <c r="G515" s="34">
        <v>-1.0</v>
      </c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37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26"/>
      <c r="D517" s="26"/>
      <c r="E517" s="1"/>
      <c r="F517" s="27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26"/>
      <c r="D518" s="26"/>
      <c r="E518" s="1"/>
      <c r="F518" s="27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26"/>
      <c r="D519" s="26"/>
      <c r="E519" s="1"/>
      <c r="F519" s="27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26"/>
      <c r="D520" s="26"/>
      <c r="E520" s="1"/>
      <c r="F520" s="27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26"/>
      <c r="D521" s="26"/>
      <c r="E521" s="1"/>
      <c r="F521" s="27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26"/>
      <c r="D522" s="26"/>
      <c r="E522" s="1"/>
      <c r="F522" s="27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26"/>
      <c r="D523" s="26"/>
      <c r="E523" s="1"/>
      <c r="F523" s="27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26"/>
      <c r="D524" s="26"/>
      <c r="E524" s="1"/>
      <c r="F524" s="27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26"/>
      <c r="D525" s="26"/>
      <c r="E525" s="1"/>
      <c r="F525" s="27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26"/>
      <c r="D526" s="26"/>
      <c r="E526" s="1"/>
      <c r="F526" s="27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26"/>
      <c r="D527" s="26"/>
      <c r="E527" s="1"/>
      <c r="F527" s="27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26"/>
      <c r="D528" s="26"/>
      <c r="E528" s="1"/>
      <c r="F528" s="27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26"/>
      <c r="D529" s="26"/>
      <c r="E529" s="1"/>
      <c r="F529" s="27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26"/>
      <c r="D530" s="26"/>
      <c r="E530" s="1"/>
      <c r="F530" s="27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26"/>
      <c r="D531" s="26"/>
      <c r="E531" s="1"/>
      <c r="F531" s="27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26"/>
      <c r="D532" s="26"/>
      <c r="E532" s="1"/>
      <c r="F532" s="27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26"/>
      <c r="D533" s="26"/>
      <c r="E533" s="1"/>
      <c r="F533" s="27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26"/>
      <c r="D534" s="26"/>
      <c r="E534" s="1"/>
      <c r="F534" s="27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26"/>
      <c r="D535" s="26"/>
      <c r="E535" s="1"/>
      <c r="F535" s="27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26"/>
      <c r="D536" s="26"/>
      <c r="E536" s="1"/>
      <c r="F536" s="27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26"/>
      <c r="D537" s="26"/>
      <c r="E537" s="1"/>
      <c r="F537" s="27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26"/>
      <c r="D538" s="26"/>
      <c r="E538" s="1"/>
      <c r="F538" s="27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26"/>
      <c r="D539" s="26"/>
      <c r="E539" s="1"/>
      <c r="F539" s="27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26"/>
      <c r="D540" s="26"/>
      <c r="E540" s="1"/>
      <c r="F540" s="27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26"/>
      <c r="D541" s="26"/>
      <c r="E541" s="1"/>
      <c r="F541" s="27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26"/>
      <c r="D542" s="26"/>
      <c r="E542" s="1"/>
      <c r="F542" s="27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26"/>
      <c r="D543" s="26"/>
      <c r="E543" s="1"/>
      <c r="F543" s="27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26"/>
      <c r="D544" s="26"/>
      <c r="E544" s="1"/>
      <c r="F544" s="27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26"/>
      <c r="D545" s="26"/>
      <c r="E545" s="1"/>
      <c r="F545" s="27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26"/>
      <c r="D546" s="26"/>
      <c r="E546" s="1"/>
      <c r="F546" s="27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26"/>
      <c r="D547" s="26"/>
      <c r="E547" s="1"/>
      <c r="F547" s="27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26"/>
      <c r="D548" s="26"/>
      <c r="E548" s="1"/>
      <c r="F548" s="27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26"/>
      <c r="D549" s="26"/>
      <c r="E549" s="1"/>
      <c r="F549" s="27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26"/>
      <c r="D550" s="26"/>
      <c r="E550" s="1"/>
      <c r="F550" s="27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26"/>
      <c r="D551" s="26"/>
      <c r="E551" s="1"/>
      <c r="F551" s="27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26"/>
      <c r="D552" s="26"/>
      <c r="E552" s="1"/>
      <c r="F552" s="27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26"/>
      <c r="D553" s="26"/>
      <c r="E553" s="1"/>
      <c r="F553" s="27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26"/>
      <c r="D554" s="26"/>
      <c r="E554" s="1"/>
      <c r="F554" s="27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26"/>
      <c r="D555" s="26"/>
      <c r="E555" s="1"/>
      <c r="F555" s="27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26"/>
      <c r="D556" s="26"/>
      <c r="E556" s="1"/>
      <c r="F556" s="27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26"/>
      <c r="D557" s="26"/>
      <c r="E557" s="1"/>
      <c r="F557" s="27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26"/>
      <c r="D558" s="26"/>
      <c r="E558" s="1"/>
      <c r="F558" s="27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26"/>
      <c r="D559" s="26"/>
      <c r="E559" s="1"/>
      <c r="F559" s="27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26"/>
      <c r="D560" s="26"/>
      <c r="E560" s="1"/>
      <c r="F560" s="27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26"/>
      <c r="D561" s="26"/>
      <c r="E561" s="1"/>
      <c r="F561" s="27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26"/>
      <c r="D562" s="26"/>
      <c r="E562" s="1"/>
      <c r="F562" s="27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26"/>
      <c r="D563" s="26"/>
      <c r="E563" s="1"/>
      <c r="F563" s="27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26"/>
      <c r="D564" s="26"/>
      <c r="E564" s="1"/>
      <c r="F564" s="27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26"/>
      <c r="D565" s="26"/>
      <c r="E565" s="1"/>
      <c r="F565" s="27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26"/>
      <c r="D566" s="26"/>
      <c r="E566" s="1"/>
      <c r="F566" s="27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26"/>
      <c r="D567" s="26"/>
      <c r="E567" s="1"/>
      <c r="F567" s="27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26"/>
      <c r="D568" s="26"/>
      <c r="E568" s="1"/>
      <c r="F568" s="27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26"/>
      <c r="D569" s="26"/>
      <c r="E569" s="1"/>
      <c r="F569" s="27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26"/>
      <c r="D570" s="26"/>
      <c r="E570" s="1"/>
      <c r="F570" s="27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26"/>
      <c r="D571" s="26"/>
      <c r="E571" s="1"/>
      <c r="F571" s="27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26"/>
      <c r="D572" s="26"/>
      <c r="E572" s="1"/>
      <c r="F572" s="27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26"/>
      <c r="D573" s="26"/>
      <c r="E573" s="1"/>
      <c r="F573" s="27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26"/>
      <c r="D574" s="26"/>
      <c r="E574" s="1"/>
      <c r="F574" s="27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26"/>
      <c r="D575" s="26"/>
      <c r="E575" s="1"/>
      <c r="F575" s="27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26"/>
      <c r="D576" s="26"/>
      <c r="E576" s="1"/>
      <c r="F576" s="27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26"/>
      <c r="D577" s="26"/>
      <c r="E577" s="1"/>
      <c r="F577" s="27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26"/>
      <c r="D578" s="26"/>
      <c r="E578" s="1"/>
      <c r="F578" s="27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26"/>
      <c r="D579" s="26"/>
      <c r="E579" s="1"/>
      <c r="F579" s="27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26"/>
      <c r="D580" s="26"/>
      <c r="E580" s="1"/>
      <c r="F580" s="27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26"/>
      <c r="D581" s="26"/>
      <c r="E581" s="1"/>
      <c r="F581" s="27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26"/>
      <c r="D582" s="26"/>
      <c r="E582" s="1"/>
      <c r="F582" s="27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26"/>
      <c r="D583" s="26"/>
      <c r="E583" s="1"/>
      <c r="F583" s="27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26"/>
      <c r="D584" s="26"/>
      <c r="E584" s="1"/>
      <c r="F584" s="27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26"/>
      <c r="D585" s="26"/>
      <c r="E585" s="1"/>
      <c r="F585" s="27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26"/>
      <c r="D586" s="26"/>
      <c r="E586" s="1"/>
      <c r="F586" s="27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26"/>
      <c r="D587" s="26"/>
      <c r="E587" s="1"/>
      <c r="F587" s="27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26"/>
      <c r="D588" s="26"/>
      <c r="E588" s="1"/>
      <c r="F588" s="27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26"/>
      <c r="D589" s="26"/>
      <c r="E589" s="1"/>
      <c r="F589" s="27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26"/>
      <c r="D590" s="26"/>
      <c r="E590" s="1"/>
      <c r="F590" s="27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26"/>
      <c r="D591" s="26"/>
      <c r="E591" s="1"/>
      <c r="F591" s="27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26"/>
      <c r="D592" s="26"/>
      <c r="E592" s="1"/>
      <c r="F592" s="27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26"/>
      <c r="D593" s="26"/>
      <c r="E593" s="1"/>
      <c r="F593" s="27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26"/>
      <c r="D594" s="26"/>
      <c r="E594" s="1"/>
      <c r="F594" s="27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26"/>
      <c r="D595" s="26"/>
      <c r="E595" s="1"/>
      <c r="F595" s="27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26"/>
      <c r="D596" s="26"/>
      <c r="E596" s="1"/>
      <c r="F596" s="27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26"/>
      <c r="D597" s="26"/>
      <c r="E597" s="1"/>
      <c r="F597" s="27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26"/>
      <c r="D598" s="26"/>
      <c r="E598" s="1"/>
      <c r="F598" s="27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26"/>
      <c r="D599" s="26"/>
      <c r="E599" s="1"/>
      <c r="F599" s="27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26"/>
      <c r="D600" s="26"/>
      <c r="E600" s="1"/>
      <c r="F600" s="27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26"/>
      <c r="D601" s="26"/>
      <c r="E601" s="1"/>
      <c r="F601" s="27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26"/>
      <c r="D602" s="26"/>
      <c r="E602" s="1"/>
      <c r="F602" s="27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26"/>
      <c r="D603" s="26"/>
      <c r="E603" s="1"/>
      <c r="F603" s="27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26"/>
      <c r="D604" s="26"/>
      <c r="E604" s="1"/>
      <c r="F604" s="27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26"/>
      <c r="D605" s="26"/>
      <c r="E605" s="1"/>
      <c r="F605" s="27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26"/>
      <c r="D606" s="26"/>
      <c r="E606" s="1"/>
      <c r="F606" s="27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26"/>
      <c r="D607" s="26"/>
      <c r="E607" s="1"/>
      <c r="F607" s="27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26"/>
      <c r="D608" s="26"/>
      <c r="E608" s="1"/>
      <c r="F608" s="27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26"/>
      <c r="D609" s="26"/>
      <c r="E609" s="1"/>
      <c r="F609" s="27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26"/>
      <c r="D610" s="26"/>
      <c r="E610" s="1"/>
      <c r="F610" s="27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26"/>
      <c r="D611" s="26"/>
      <c r="E611" s="1"/>
      <c r="F611" s="27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26"/>
      <c r="D612" s="26"/>
      <c r="E612" s="1"/>
      <c r="F612" s="27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26"/>
      <c r="D613" s="26"/>
      <c r="E613" s="1"/>
      <c r="F613" s="27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26"/>
      <c r="D614" s="26"/>
      <c r="E614" s="1"/>
      <c r="F614" s="27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26"/>
      <c r="D615" s="26"/>
      <c r="E615" s="1"/>
      <c r="F615" s="27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26"/>
      <c r="D616" s="26"/>
      <c r="E616" s="1"/>
      <c r="F616" s="27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26"/>
      <c r="D617" s="26"/>
      <c r="E617" s="1"/>
      <c r="F617" s="27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26"/>
      <c r="D618" s="26"/>
      <c r="E618" s="1"/>
      <c r="F618" s="27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26"/>
      <c r="D619" s="26"/>
      <c r="E619" s="1"/>
      <c r="F619" s="27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26"/>
      <c r="D620" s="26"/>
      <c r="E620" s="1"/>
      <c r="F620" s="27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26"/>
      <c r="D621" s="26"/>
      <c r="E621" s="1"/>
      <c r="F621" s="27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26"/>
      <c r="D622" s="26"/>
      <c r="E622" s="1"/>
      <c r="F622" s="27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26"/>
      <c r="D623" s="26"/>
      <c r="E623" s="1"/>
      <c r="F623" s="27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26"/>
      <c r="D624" s="26"/>
      <c r="E624" s="1"/>
      <c r="F624" s="27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26"/>
      <c r="D625" s="26"/>
      <c r="E625" s="1"/>
      <c r="F625" s="27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26"/>
      <c r="D626" s="26"/>
      <c r="E626" s="1"/>
      <c r="F626" s="27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26"/>
      <c r="D627" s="26"/>
      <c r="E627" s="1"/>
      <c r="F627" s="27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26"/>
      <c r="D628" s="26"/>
      <c r="E628" s="1"/>
      <c r="F628" s="27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26"/>
      <c r="D629" s="26"/>
      <c r="E629" s="1"/>
      <c r="F629" s="27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26"/>
      <c r="D630" s="26"/>
      <c r="E630" s="1"/>
      <c r="F630" s="27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26"/>
      <c r="D631" s="26"/>
      <c r="E631" s="1"/>
      <c r="F631" s="27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26"/>
      <c r="D632" s="26"/>
      <c r="E632" s="1"/>
      <c r="F632" s="27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26"/>
      <c r="D633" s="26"/>
      <c r="E633" s="1"/>
      <c r="F633" s="27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26"/>
      <c r="D634" s="26"/>
      <c r="E634" s="1"/>
      <c r="F634" s="27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26"/>
      <c r="D635" s="26"/>
      <c r="E635" s="1"/>
      <c r="F635" s="27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26"/>
      <c r="D636" s="26"/>
      <c r="E636" s="1"/>
      <c r="F636" s="27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26"/>
      <c r="D637" s="26"/>
      <c r="E637" s="1"/>
      <c r="F637" s="27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26"/>
      <c r="D638" s="26"/>
      <c r="E638" s="1"/>
      <c r="F638" s="27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26"/>
      <c r="D639" s="26"/>
      <c r="E639" s="1"/>
      <c r="F639" s="27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26"/>
      <c r="D640" s="26"/>
      <c r="E640" s="1"/>
      <c r="F640" s="27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26"/>
      <c r="D641" s="26"/>
      <c r="E641" s="1"/>
      <c r="F641" s="27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26"/>
      <c r="D642" s="26"/>
      <c r="E642" s="1"/>
      <c r="F642" s="27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26"/>
      <c r="D643" s="26"/>
      <c r="E643" s="1"/>
      <c r="F643" s="27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26"/>
      <c r="D644" s="26"/>
      <c r="E644" s="1"/>
      <c r="F644" s="27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26"/>
      <c r="D645" s="26"/>
      <c r="E645" s="1"/>
      <c r="F645" s="27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26"/>
      <c r="D646" s="26"/>
      <c r="E646" s="1"/>
      <c r="F646" s="27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26"/>
      <c r="D647" s="26"/>
      <c r="E647" s="1"/>
      <c r="F647" s="27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26"/>
      <c r="D648" s="26"/>
      <c r="E648" s="1"/>
      <c r="F648" s="27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26"/>
      <c r="D649" s="26"/>
      <c r="E649" s="1"/>
      <c r="F649" s="27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26"/>
      <c r="D650" s="26"/>
      <c r="E650" s="1"/>
      <c r="F650" s="27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26"/>
      <c r="D651" s="26"/>
      <c r="E651" s="1"/>
      <c r="F651" s="27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26"/>
      <c r="D652" s="26"/>
      <c r="E652" s="1"/>
      <c r="F652" s="27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26"/>
      <c r="D653" s="26"/>
      <c r="E653" s="1"/>
      <c r="F653" s="27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26"/>
      <c r="D654" s="26"/>
      <c r="E654" s="1"/>
      <c r="F654" s="27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26"/>
      <c r="D655" s="26"/>
      <c r="E655" s="1"/>
      <c r="F655" s="27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26"/>
      <c r="D656" s="26"/>
      <c r="E656" s="1"/>
      <c r="F656" s="27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26"/>
      <c r="D657" s="26"/>
      <c r="E657" s="1"/>
      <c r="F657" s="27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26"/>
      <c r="D658" s="26"/>
      <c r="E658" s="1"/>
      <c r="F658" s="27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26"/>
      <c r="D659" s="26"/>
      <c r="E659" s="1"/>
      <c r="F659" s="27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26"/>
      <c r="D660" s="26"/>
      <c r="E660" s="1"/>
      <c r="F660" s="27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26"/>
      <c r="D661" s="26"/>
      <c r="E661" s="1"/>
      <c r="F661" s="27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26"/>
      <c r="D662" s="26"/>
      <c r="E662" s="1"/>
      <c r="F662" s="27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26"/>
      <c r="D663" s="26"/>
      <c r="E663" s="1"/>
      <c r="F663" s="27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26"/>
      <c r="D664" s="26"/>
      <c r="E664" s="1"/>
      <c r="F664" s="27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26"/>
      <c r="D665" s="26"/>
      <c r="E665" s="1"/>
      <c r="F665" s="27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26"/>
      <c r="D666" s="26"/>
      <c r="E666" s="1"/>
      <c r="F666" s="27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26"/>
      <c r="D667" s="26"/>
      <c r="E667" s="1"/>
      <c r="F667" s="27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26"/>
      <c r="D668" s="26"/>
      <c r="E668" s="1"/>
      <c r="F668" s="27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26"/>
      <c r="D669" s="26"/>
      <c r="E669" s="1"/>
      <c r="F669" s="27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26"/>
      <c r="D670" s="26"/>
      <c r="E670" s="1"/>
      <c r="F670" s="27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26"/>
      <c r="D671" s="26"/>
      <c r="E671" s="1"/>
      <c r="F671" s="27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26"/>
      <c r="D672" s="26"/>
      <c r="E672" s="1"/>
      <c r="F672" s="27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26"/>
      <c r="D673" s="26"/>
      <c r="E673" s="1"/>
      <c r="F673" s="27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26"/>
      <c r="D674" s="26"/>
      <c r="E674" s="1"/>
      <c r="F674" s="27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26"/>
      <c r="D675" s="26"/>
      <c r="E675" s="1"/>
      <c r="F675" s="27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26"/>
      <c r="D676" s="26"/>
      <c r="E676" s="1"/>
      <c r="F676" s="27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26"/>
      <c r="D677" s="26"/>
      <c r="E677" s="1"/>
      <c r="F677" s="27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26"/>
      <c r="D678" s="26"/>
      <c r="E678" s="1"/>
      <c r="F678" s="27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26"/>
      <c r="D679" s="26"/>
      <c r="E679" s="1"/>
      <c r="F679" s="27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26"/>
      <c r="D680" s="26"/>
      <c r="E680" s="1"/>
      <c r="F680" s="27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26"/>
      <c r="D681" s="26"/>
      <c r="E681" s="1"/>
      <c r="F681" s="27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26"/>
      <c r="D682" s="26"/>
      <c r="E682" s="1"/>
      <c r="F682" s="27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26"/>
      <c r="D683" s="26"/>
      <c r="E683" s="1"/>
      <c r="F683" s="27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26"/>
      <c r="D684" s="26"/>
      <c r="E684" s="1"/>
      <c r="F684" s="27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26"/>
      <c r="D685" s="26"/>
      <c r="E685" s="1"/>
      <c r="F685" s="27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26"/>
      <c r="D686" s="26"/>
      <c r="E686" s="1"/>
      <c r="F686" s="27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26"/>
      <c r="D687" s="26"/>
      <c r="E687" s="1"/>
      <c r="F687" s="27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26"/>
      <c r="D688" s="26"/>
      <c r="E688" s="1"/>
      <c r="F688" s="27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26"/>
      <c r="D689" s="26"/>
      <c r="E689" s="1"/>
      <c r="F689" s="27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26"/>
      <c r="D690" s="26"/>
      <c r="E690" s="1"/>
      <c r="F690" s="27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26"/>
      <c r="D691" s="26"/>
      <c r="E691" s="1"/>
      <c r="F691" s="27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26"/>
      <c r="D692" s="26"/>
      <c r="E692" s="1"/>
      <c r="F692" s="27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26"/>
      <c r="D693" s="26"/>
      <c r="E693" s="1"/>
      <c r="F693" s="27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26"/>
      <c r="D694" s="26"/>
      <c r="E694" s="1"/>
      <c r="F694" s="27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26"/>
      <c r="D695" s="26"/>
      <c r="E695" s="1"/>
      <c r="F695" s="27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26"/>
      <c r="D696" s="26"/>
      <c r="E696" s="1"/>
      <c r="F696" s="27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26"/>
      <c r="D697" s="26"/>
      <c r="E697" s="1"/>
      <c r="F697" s="27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26"/>
      <c r="D698" s="26"/>
      <c r="E698" s="1"/>
      <c r="F698" s="27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26"/>
      <c r="D699" s="26"/>
      <c r="E699" s="1"/>
      <c r="F699" s="27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26"/>
      <c r="D700" s="26"/>
      <c r="E700" s="1"/>
      <c r="F700" s="27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26"/>
      <c r="D701" s="26"/>
      <c r="E701" s="1"/>
      <c r="F701" s="27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26"/>
      <c r="D702" s="26"/>
      <c r="E702" s="1"/>
      <c r="F702" s="27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26"/>
      <c r="D703" s="26"/>
      <c r="E703" s="1"/>
      <c r="F703" s="27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26"/>
      <c r="D704" s="26"/>
      <c r="E704" s="1"/>
      <c r="F704" s="27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26"/>
      <c r="D705" s="26"/>
      <c r="E705" s="1"/>
      <c r="F705" s="27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26"/>
      <c r="D706" s="26"/>
      <c r="E706" s="1"/>
      <c r="F706" s="27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26"/>
      <c r="D707" s="26"/>
      <c r="E707" s="1"/>
      <c r="F707" s="27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26"/>
      <c r="D708" s="26"/>
      <c r="E708" s="1"/>
      <c r="F708" s="27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26"/>
      <c r="D709" s="26"/>
      <c r="E709" s="1"/>
      <c r="F709" s="27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26"/>
      <c r="D710" s="26"/>
      <c r="E710" s="1"/>
      <c r="F710" s="27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26"/>
      <c r="D711" s="26"/>
      <c r="E711" s="1"/>
      <c r="F711" s="27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26"/>
      <c r="D712" s="26"/>
      <c r="E712" s="1"/>
      <c r="F712" s="27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26"/>
      <c r="D713" s="26"/>
      <c r="E713" s="1"/>
      <c r="F713" s="27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26"/>
      <c r="D714" s="26"/>
      <c r="E714" s="1"/>
      <c r="F714" s="27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26"/>
      <c r="D715" s="26"/>
      <c r="E715" s="1"/>
      <c r="F715" s="27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26"/>
      <c r="D716" s="26"/>
      <c r="E716" s="1"/>
      <c r="F716" s="27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26"/>
      <c r="D717" s="26"/>
      <c r="E717" s="1"/>
      <c r="F717" s="27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26"/>
      <c r="D718" s="26"/>
      <c r="E718" s="1"/>
      <c r="F718" s="27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26"/>
      <c r="D719" s="26"/>
      <c r="E719" s="1"/>
      <c r="F719" s="27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26"/>
      <c r="D720" s="26"/>
      <c r="E720" s="1"/>
      <c r="F720" s="27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26"/>
      <c r="D721" s="26"/>
      <c r="E721" s="1"/>
      <c r="F721" s="27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26"/>
      <c r="D722" s="26"/>
      <c r="E722" s="1"/>
      <c r="F722" s="27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26"/>
      <c r="D723" s="26"/>
      <c r="E723" s="1"/>
      <c r="F723" s="27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26"/>
      <c r="D724" s="26"/>
      <c r="E724" s="1"/>
      <c r="F724" s="27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26"/>
      <c r="D725" s="26"/>
      <c r="E725" s="1"/>
      <c r="F725" s="27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26"/>
      <c r="D726" s="26"/>
      <c r="E726" s="1"/>
      <c r="F726" s="27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26"/>
      <c r="D727" s="26"/>
      <c r="E727" s="1"/>
      <c r="F727" s="27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26"/>
      <c r="D728" s="26"/>
      <c r="E728" s="1"/>
      <c r="F728" s="27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26"/>
      <c r="D729" s="26"/>
      <c r="E729" s="1"/>
      <c r="F729" s="27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26"/>
      <c r="D730" s="26"/>
      <c r="E730" s="1"/>
      <c r="F730" s="27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26"/>
      <c r="D731" s="26"/>
      <c r="E731" s="1"/>
      <c r="F731" s="27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26"/>
      <c r="D732" s="26"/>
      <c r="E732" s="1"/>
      <c r="F732" s="27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26"/>
      <c r="D733" s="26"/>
      <c r="E733" s="1"/>
      <c r="F733" s="27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26"/>
      <c r="D734" s="26"/>
      <c r="E734" s="1"/>
      <c r="F734" s="27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26"/>
      <c r="D735" s="26"/>
      <c r="E735" s="1"/>
      <c r="F735" s="27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26"/>
      <c r="D736" s="26"/>
      <c r="E736" s="1"/>
      <c r="F736" s="27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26"/>
      <c r="D737" s="26"/>
      <c r="E737" s="1"/>
      <c r="F737" s="27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26"/>
      <c r="D738" s="26"/>
      <c r="E738" s="1"/>
      <c r="F738" s="27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26"/>
      <c r="D739" s="26"/>
      <c r="E739" s="1"/>
      <c r="F739" s="27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26"/>
      <c r="D740" s="26"/>
      <c r="E740" s="1"/>
      <c r="F740" s="27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26"/>
      <c r="D741" s="26"/>
      <c r="E741" s="1"/>
      <c r="F741" s="27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26"/>
      <c r="D742" s="26"/>
      <c r="E742" s="1"/>
      <c r="F742" s="27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26"/>
      <c r="D743" s="26"/>
      <c r="E743" s="1"/>
      <c r="F743" s="27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26"/>
      <c r="D744" s="26"/>
      <c r="E744" s="1"/>
      <c r="F744" s="27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26"/>
      <c r="D745" s="26"/>
      <c r="E745" s="1"/>
      <c r="F745" s="27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26"/>
      <c r="D746" s="26"/>
      <c r="E746" s="1"/>
      <c r="F746" s="27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26"/>
      <c r="D747" s="26"/>
      <c r="E747" s="1"/>
      <c r="F747" s="27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26"/>
      <c r="D748" s="26"/>
      <c r="E748" s="1"/>
      <c r="F748" s="27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26"/>
      <c r="D749" s="26"/>
      <c r="E749" s="1"/>
      <c r="F749" s="27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26"/>
      <c r="D750" s="26"/>
      <c r="E750" s="1"/>
      <c r="F750" s="27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26"/>
      <c r="D751" s="26"/>
      <c r="E751" s="1"/>
      <c r="F751" s="27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26"/>
      <c r="D752" s="26"/>
      <c r="E752" s="1"/>
      <c r="F752" s="27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26"/>
      <c r="D753" s="26"/>
      <c r="E753" s="1"/>
      <c r="F753" s="27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26"/>
      <c r="D754" s="26"/>
      <c r="E754" s="1"/>
      <c r="F754" s="27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26"/>
      <c r="D755" s="26"/>
      <c r="E755" s="1"/>
      <c r="F755" s="27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26"/>
      <c r="D756" s="26"/>
      <c r="E756" s="1"/>
      <c r="F756" s="27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26"/>
      <c r="D757" s="26"/>
      <c r="E757" s="1"/>
      <c r="F757" s="27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26"/>
      <c r="D758" s="26"/>
      <c r="E758" s="1"/>
      <c r="F758" s="27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26"/>
      <c r="D759" s="26"/>
      <c r="E759" s="1"/>
      <c r="F759" s="27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26"/>
      <c r="D760" s="26"/>
      <c r="E760" s="1"/>
      <c r="F760" s="27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26"/>
      <c r="D761" s="26"/>
      <c r="E761" s="1"/>
      <c r="F761" s="27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26"/>
      <c r="D762" s="26"/>
      <c r="E762" s="1"/>
      <c r="F762" s="27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26"/>
      <c r="D763" s="26"/>
      <c r="E763" s="1"/>
      <c r="F763" s="27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26"/>
      <c r="D764" s="26"/>
      <c r="E764" s="1"/>
      <c r="F764" s="27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26"/>
      <c r="D765" s="26"/>
      <c r="E765" s="1"/>
      <c r="F765" s="27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26"/>
      <c r="D766" s="26"/>
      <c r="E766" s="1"/>
      <c r="F766" s="27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26"/>
      <c r="D767" s="26"/>
      <c r="E767" s="1"/>
      <c r="F767" s="27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26"/>
      <c r="D768" s="26"/>
      <c r="E768" s="1"/>
      <c r="F768" s="27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26"/>
      <c r="D769" s="26"/>
      <c r="E769" s="1"/>
      <c r="F769" s="27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26"/>
      <c r="D770" s="26"/>
      <c r="E770" s="1"/>
      <c r="F770" s="27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26"/>
      <c r="D771" s="26"/>
      <c r="E771" s="1"/>
      <c r="F771" s="27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26"/>
      <c r="D772" s="26"/>
      <c r="E772" s="1"/>
      <c r="F772" s="27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26"/>
      <c r="D773" s="26"/>
      <c r="E773" s="1"/>
      <c r="F773" s="27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26"/>
      <c r="D774" s="26"/>
      <c r="E774" s="1"/>
      <c r="F774" s="27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26"/>
      <c r="D775" s="26"/>
      <c r="E775" s="1"/>
      <c r="F775" s="27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26"/>
      <c r="D776" s="26"/>
      <c r="E776" s="1"/>
      <c r="F776" s="27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26"/>
      <c r="D777" s="26"/>
      <c r="E777" s="1"/>
      <c r="F777" s="27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26"/>
      <c r="D778" s="26"/>
      <c r="E778" s="1"/>
      <c r="F778" s="27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26"/>
      <c r="D779" s="26"/>
      <c r="E779" s="1"/>
      <c r="F779" s="27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26"/>
      <c r="D780" s="26"/>
      <c r="E780" s="1"/>
      <c r="F780" s="27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26"/>
      <c r="D781" s="26"/>
      <c r="E781" s="1"/>
      <c r="F781" s="27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26"/>
      <c r="D782" s="26"/>
      <c r="E782" s="1"/>
      <c r="F782" s="27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26"/>
      <c r="D783" s="26"/>
      <c r="E783" s="1"/>
      <c r="F783" s="27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26"/>
      <c r="D784" s="26"/>
      <c r="E784" s="1"/>
      <c r="F784" s="27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26"/>
      <c r="D785" s="26"/>
      <c r="E785" s="1"/>
      <c r="F785" s="27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26"/>
      <c r="D786" s="26"/>
      <c r="E786" s="1"/>
      <c r="F786" s="27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26"/>
      <c r="D787" s="26"/>
      <c r="E787" s="1"/>
      <c r="F787" s="27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26"/>
      <c r="D788" s="26"/>
      <c r="E788" s="1"/>
      <c r="F788" s="27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26"/>
      <c r="D789" s="26"/>
      <c r="E789" s="1"/>
      <c r="F789" s="27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26"/>
      <c r="D790" s="26"/>
      <c r="E790" s="1"/>
      <c r="F790" s="27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26"/>
      <c r="D791" s="26"/>
      <c r="E791" s="1"/>
      <c r="F791" s="27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26"/>
      <c r="D792" s="26"/>
      <c r="E792" s="1"/>
      <c r="F792" s="27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26"/>
      <c r="D793" s="26"/>
      <c r="E793" s="1"/>
      <c r="F793" s="27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26"/>
      <c r="D794" s="26"/>
      <c r="E794" s="1"/>
      <c r="F794" s="27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26"/>
      <c r="D795" s="26"/>
      <c r="E795" s="1"/>
      <c r="F795" s="27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26"/>
      <c r="D796" s="26"/>
      <c r="E796" s="1"/>
      <c r="F796" s="27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26"/>
      <c r="D797" s="26"/>
      <c r="E797" s="1"/>
      <c r="F797" s="27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26"/>
      <c r="D798" s="26"/>
      <c r="E798" s="1"/>
      <c r="F798" s="27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26"/>
      <c r="D799" s="26"/>
      <c r="E799" s="1"/>
      <c r="F799" s="27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26"/>
      <c r="D800" s="26"/>
      <c r="E800" s="1"/>
      <c r="F800" s="27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26"/>
      <c r="D801" s="26"/>
      <c r="E801" s="1"/>
      <c r="F801" s="27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26"/>
      <c r="D802" s="26"/>
      <c r="E802" s="1"/>
      <c r="F802" s="27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26"/>
      <c r="D803" s="26"/>
      <c r="E803" s="1"/>
      <c r="F803" s="27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26"/>
      <c r="D804" s="26"/>
      <c r="E804" s="1"/>
      <c r="F804" s="27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26"/>
      <c r="D805" s="26"/>
      <c r="E805" s="1"/>
      <c r="F805" s="27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26"/>
      <c r="D806" s="26"/>
      <c r="E806" s="1"/>
      <c r="F806" s="27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26"/>
      <c r="D807" s="26"/>
      <c r="E807" s="1"/>
      <c r="F807" s="27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26"/>
      <c r="D808" s="26"/>
      <c r="E808" s="1"/>
      <c r="F808" s="27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26"/>
      <c r="D809" s="26"/>
      <c r="E809" s="1"/>
      <c r="F809" s="27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26"/>
      <c r="D810" s="26"/>
      <c r="E810" s="1"/>
      <c r="F810" s="27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26"/>
      <c r="D811" s="26"/>
      <c r="E811" s="1"/>
      <c r="F811" s="27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26"/>
      <c r="D812" s="26"/>
      <c r="E812" s="1"/>
      <c r="F812" s="27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26"/>
      <c r="D813" s="26"/>
      <c r="E813" s="1"/>
      <c r="F813" s="27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26"/>
      <c r="D814" s="26"/>
      <c r="E814" s="1"/>
      <c r="F814" s="27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26"/>
      <c r="D815" s="26"/>
      <c r="E815" s="1"/>
      <c r="F815" s="27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26"/>
      <c r="D816" s="26"/>
      <c r="E816" s="1"/>
      <c r="F816" s="27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26"/>
      <c r="D817" s="26"/>
      <c r="E817" s="1"/>
      <c r="F817" s="27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26"/>
      <c r="D818" s="26"/>
      <c r="E818" s="1"/>
      <c r="F818" s="27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26"/>
      <c r="D819" s="26"/>
      <c r="E819" s="1"/>
      <c r="F819" s="27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26"/>
      <c r="D820" s="26"/>
      <c r="E820" s="1"/>
      <c r="F820" s="27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26"/>
      <c r="D821" s="26"/>
      <c r="E821" s="1"/>
      <c r="F821" s="27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26"/>
      <c r="D822" s="26"/>
      <c r="E822" s="1"/>
      <c r="F822" s="27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26"/>
      <c r="D823" s="26"/>
      <c r="E823" s="1"/>
      <c r="F823" s="27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26"/>
      <c r="D824" s="26"/>
      <c r="E824" s="1"/>
      <c r="F824" s="27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26"/>
      <c r="D825" s="26"/>
      <c r="E825" s="1"/>
      <c r="F825" s="27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26"/>
      <c r="D826" s="26"/>
      <c r="E826" s="1"/>
      <c r="F826" s="27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26"/>
      <c r="D827" s="26"/>
      <c r="E827" s="1"/>
      <c r="F827" s="27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26"/>
      <c r="D828" s="26"/>
      <c r="E828" s="1"/>
      <c r="F828" s="27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26"/>
      <c r="D829" s="26"/>
      <c r="E829" s="1"/>
      <c r="F829" s="27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26"/>
      <c r="D830" s="26"/>
      <c r="E830" s="1"/>
      <c r="F830" s="27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26"/>
      <c r="D831" s="26"/>
      <c r="E831" s="1"/>
      <c r="F831" s="27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26"/>
      <c r="D832" s="26"/>
      <c r="E832" s="1"/>
      <c r="F832" s="27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26"/>
      <c r="D833" s="26"/>
      <c r="E833" s="1"/>
      <c r="F833" s="27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26"/>
      <c r="D834" s="26"/>
      <c r="E834" s="1"/>
      <c r="F834" s="27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26"/>
      <c r="D835" s="26"/>
      <c r="E835" s="1"/>
      <c r="F835" s="27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26"/>
      <c r="D836" s="26"/>
      <c r="E836" s="1"/>
      <c r="F836" s="27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26"/>
      <c r="D837" s="26"/>
      <c r="E837" s="1"/>
      <c r="F837" s="27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26"/>
      <c r="D838" s="26"/>
      <c r="E838" s="1"/>
      <c r="F838" s="27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26"/>
      <c r="D839" s="26"/>
      <c r="E839" s="1"/>
      <c r="F839" s="27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26"/>
      <c r="D840" s="26"/>
      <c r="E840" s="1"/>
      <c r="F840" s="27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26"/>
      <c r="D841" s="26"/>
      <c r="E841" s="1"/>
      <c r="F841" s="27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26"/>
      <c r="D842" s="26"/>
      <c r="E842" s="1"/>
      <c r="F842" s="27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26"/>
      <c r="D843" s="26"/>
      <c r="E843" s="1"/>
      <c r="F843" s="27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26"/>
      <c r="D844" s="26"/>
      <c r="E844" s="1"/>
      <c r="F844" s="27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26"/>
      <c r="D845" s="26"/>
      <c r="E845" s="1"/>
      <c r="F845" s="27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26"/>
      <c r="D846" s="26"/>
      <c r="E846" s="1"/>
      <c r="F846" s="27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26"/>
      <c r="D847" s="26"/>
      <c r="E847" s="1"/>
      <c r="F847" s="27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26"/>
      <c r="D848" s="26"/>
      <c r="E848" s="1"/>
      <c r="F848" s="27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26"/>
      <c r="D849" s="26"/>
      <c r="E849" s="1"/>
      <c r="F849" s="27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26"/>
      <c r="D850" s="26"/>
      <c r="E850" s="1"/>
      <c r="F850" s="27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26"/>
      <c r="D851" s="26"/>
      <c r="E851" s="1"/>
      <c r="F851" s="27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26"/>
      <c r="D852" s="26"/>
      <c r="E852" s="1"/>
      <c r="F852" s="27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26"/>
      <c r="D853" s="26"/>
      <c r="E853" s="1"/>
      <c r="F853" s="27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26"/>
      <c r="D854" s="26"/>
      <c r="E854" s="1"/>
      <c r="F854" s="27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26"/>
      <c r="D855" s="26"/>
      <c r="E855" s="1"/>
      <c r="F855" s="27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26"/>
      <c r="D856" s="26"/>
      <c r="E856" s="1"/>
      <c r="F856" s="27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26"/>
      <c r="D857" s="26"/>
      <c r="E857" s="1"/>
      <c r="F857" s="27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26"/>
      <c r="D858" s="26"/>
      <c r="E858" s="1"/>
      <c r="F858" s="27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26"/>
      <c r="D859" s="26"/>
      <c r="E859" s="1"/>
      <c r="F859" s="27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26"/>
      <c r="D860" s="26"/>
      <c r="E860" s="1"/>
      <c r="F860" s="27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26"/>
      <c r="D861" s="26"/>
      <c r="E861" s="1"/>
      <c r="F861" s="27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26"/>
      <c r="D862" s="26"/>
      <c r="E862" s="1"/>
      <c r="F862" s="27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26"/>
      <c r="D863" s="26"/>
      <c r="E863" s="1"/>
      <c r="F863" s="27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26"/>
      <c r="D864" s="26"/>
      <c r="E864" s="1"/>
      <c r="F864" s="27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26"/>
      <c r="D865" s="26"/>
      <c r="E865" s="1"/>
      <c r="F865" s="27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26"/>
      <c r="D866" s="26"/>
      <c r="E866" s="1"/>
      <c r="F866" s="27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26"/>
      <c r="D867" s="26"/>
      <c r="E867" s="1"/>
      <c r="F867" s="27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26"/>
      <c r="D868" s="26"/>
      <c r="E868" s="1"/>
      <c r="F868" s="27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26"/>
      <c r="D869" s="26"/>
      <c r="E869" s="1"/>
      <c r="F869" s="27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26"/>
      <c r="D870" s="26"/>
      <c r="E870" s="1"/>
      <c r="F870" s="27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26"/>
      <c r="D871" s="26"/>
      <c r="E871" s="1"/>
      <c r="F871" s="27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26"/>
      <c r="D872" s="26"/>
      <c r="E872" s="1"/>
      <c r="F872" s="27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26"/>
      <c r="D873" s="26"/>
      <c r="E873" s="1"/>
      <c r="F873" s="27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26"/>
      <c r="D874" s="26"/>
      <c r="E874" s="1"/>
      <c r="F874" s="27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26"/>
      <c r="D875" s="26"/>
      <c r="E875" s="1"/>
      <c r="F875" s="27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26"/>
      <c r="D876" s="26"/>
      <c r="E876" s="1"/>
      <c r="F876" s="27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26"/>
      <c r="D877" s="26"/>
      <c r="E877" s="1"/>
      <c r="F877" s="27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26"/>
      <c r="D878" s="26"/>
      <c r="E878" s="1"/>
      <c r="F878" s="27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26"/>
      <c r="D879" s="26"/>
      <c r="E879" s="1"/>
      <c r="F879" s="27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26"/>
      <c r="D880" s="26"/>
      <c r="E880" s="1"/>
      <c r="F880" s="27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26"/>
      <c r="D881" s="26"/>
      <c r="E881" s="1"/>
      <c r="F881" s="27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26"/>
      <c r="D882" s="26"/>
      <c r="E882" s="1"/>
      <c r="F882" s="27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26"/>
      <c r="D883" s="26"/>
      <c r="E883" s="1"/>
      <c r="F883" s="27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26"/>
      <c r="D884" s="26"/>
      <c r="E884" s="1"/>
      <c r="F884" s="27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26"/>
      <c r="D885" s="26"/>
      <c r="E885" s="1"/>
      <c r="F885" s="27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26"/>
      <c r="D886" s="26"/>
      <c r="E886" s="1"/>
      <c r="F886" s="27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26"/>
      <c r="D887" s="26"/>
      <c r="E887" s="1"/>
      <c r="F887" s="27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26"/>
      <c r="D888" s="26"/>
      <c r="E888" s="1"/>
      <c r="F888" s="27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26"/>
      <c r="D889" s="26"/>
      <c r="E889" s="1"/>
      <c r="F889" s="27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26"/>
      <c r="D890" s="26"/>
      <c r="E890" s="1"/>
      <c r="F890" s="27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26"/>
      <c r="D891" s="26"/>
      <c r="E891" s="1"/>
      <c r="F891" s="27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26"/>
      <c r="D892" s="26"/>
      <c r="E892" s="1"/>
      <c r="F892" s="27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26"/>
      <c r="D893" s="26"/>
      <c r="E893" s="1"/>
      <c r="F893" s="27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26"/>
      <c r="D894" s="26"/>
      <c r="E894" s="1"/>
      <c r="F894" s="27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26"/>
      <c r="D895" s="26"/>
      <c r="E895" s="1"/>
      <c r="F895" s="27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26"/>
      <c r="D896" s="26"/>
      <c r="E896" s="1"/>
      <c r="F896" s="27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26"/>
      <c r="D897" s="26"/>
      <c r="E897" s="1"/>
      <c r="F897" s="27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26"/>
      <c r="D898" s="26"/>
      <c r="E898" s="1"/>
      <c r="F898" s="27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26"/>
      <c r="D899" s="26"/>
      <c r="E899" s="1"/>
      <c r="F899" s="27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26"/>
      <c r="D900" s="26"/>
      <c r="E900" s="1"/>
      <c r="F900" s="27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26"/>
      <c r="D901" s="26"/>
      <c r="E901" s="1"/>
      <c r="F901" s="27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26"/>
      <c r="D902" s="26"/>
      <c r="E902" s="1"/>
      <c r="F902" s="27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26"/>
      <c r="D903" s="26"/>
      <c r="E903" s="1"/>
      <c r="F903" s="27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26"/>
      <c r="D904" s="26"/>
      <c r="E904" s="1"/>
      <c r="F904" s="27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26"/>
      <c r="D905" s="26"/>
      <c r="E905" s="1"/>
      <c r="F905" s="27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26"/>
      <c r="D906" s="26"/>
      <c r="E906" s="1"/>
      <c r="F906" s="27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26"/>
      <c r="D907" s="26"/>
      <c r="E907" s="1"/>
      <c r="F907" s="27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26"/>
      <c r="D908" s="26"/>
      <c r="E908" s="1"/>
      <c r="F908" s="27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26"/>
      <c r="D909" s="26"/>
      <c r="E909" s="1"/>
      <c r="F909" s="27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26"/>
      <c r="D910" s="26"/>
      <c r="E910" s="1"/>
      <c r="F910" s="27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26"/>
      <c r="D911" s="26"/>
      <c r="E911" s="1"/>
      <c r="F911" s="27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26"/>
      <c r="D912" s="26"/>
      <c r="E912" s="1"/>
      <c r="F912" s="27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26"/>
      <c r="D913" s="26"/>
      <c r="E913" s="1"/>
      <c r="F913" s="27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26"/>
      <c r="D914" s="26"/>
      <c r="E914" s="1"/>
      <c r="F914" s="27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26"/>
      <c r="D915" s="26"/>
      <c r="E915" s="1"/>
      <c r="F915" s="27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26"/>
      <c r="D916" s="26"/>
      <c r="E916" s="1"/>
      <c r="F916" s="27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26"/>
      <c r="D917" s="26"/>
      <c r="E917" s="1"/>
      <c r="F917" s="27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26"/>
      <c r="D918" s="26"/>
      <c r="E918" s="1"/>
      <c r="F918" s="27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26"/>
      <c r="D919" s="26"/>
      <c r="E919" s="1"/>
      <c r="F919" s="27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26"/>
      <c r="D920" s="26"/>
      <c r="E920" s="1"/>
      <c r="F920" s="27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26"/>
      <c r="D921" s="26"/>
      <c r="E921" s="1"/>
      <c r="F921" s="27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26"/>
      <c r="D922" s="26"/>
      <c r="E922" s="1"/>
      <c r="F922" s="27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26"/>
      <c r="D923" s="26"/>
      <c r="E923" s="1"/>
      <c r="F923" s="27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26"/>
      <c r="D924" s="26"/>
      <c r="E924" s="1"/>
      <c r="F924" s="27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26"/>
      <c r="D925" s="26"/>
      <c r="E925" s="1"/>
      <c r="F925" s="27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26"/>
      <c r="D926" s="26"/>
      <c r="E926" s="1"/>
      <c r="F926" s="27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26"/>
      <c r="D927" s="26"/>
      <c r="E927" s="1"/>
      <c r="F927" s="27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26"/>
      <c r="D928" s="26"/>
      <c r="E928" s="1"/>
      <c r="F928" s="27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26"/>
      <c r="D929" s="26"/>
      <c r="E929" s="1"/>
      <c r="F929" s="27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26"/>
      <c r="D930" s="26"/>
      <c r="E930" s="1"/>
      <c r="F930" s="27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26"/>
      <c r="D931" s="26"/>
      <c r="E931" s="1"/>
      <c r="F931" s="27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26"/>
      <c r="D932" s="26"/>
      <c r="E932" s="1"/>
      <c r="F932" s="27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26"/>
      <c r="D933" s="26"/>
      <c r="E933" s="1"/>
      <c r="F933" s="27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26"/>
      <c r="D934" s="26"/>
      <c r="E934" s="1"/>
      <c r="F934" s="27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26"/>
      <c r="D935" s="26"/>
      <c r="E935" s="1"/>
      <c r="F935" s="27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26"/>
      <c r="D936" s="26"/>
      <c r="E936" s="1"/>
      <c r="F936" s="27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26"/>
      <c r="D937" s="26"/>
      <c r="E937" s="1"/>
      <c r="F937" s="27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26"/>
      <c r="D938" s="26"/>
      <c r="E938" s="1"/>
      <c r="F938" s="27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26"/>
      <c r="D939" s="26"/>
      <c r="E939" s="1"/>
      <c r="F939" s="27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26"/>
      <c r="D940" s="26"/>
      <c r="E940" s="1"/>
      <c r="F940" s="27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26"/>
      <c r="D941" s="26"/>
      <c r="E941" s="1"/>
      <c r="F941" s="27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26"/>
      <c r="D942" s="26"/>
      <c r="E942" s="1"/>
      <c r="F942" s="27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26"/>
      <c r="D943" s="26"/>
      <c r="E943" s="1"/>
      <c r="F943" s="27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26"/>
      <c r="D944" s="26"/>
      <c r="E944" s="1"/>
      <c r="F944" s="27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26"/>
      <c r="D945" s="26"/>
      <c r="E945" s="1"/>
      <c r="F945" s="27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26"/>
      <c r="D946" s="26"/>
      <c r="E946" s="1"/>
      <c r="F946" s="27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26"/>
      <c r="D947" s="26"/>
      <c r="E947" s="1"/>
      <c r="F947" s="27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26"/>
      <c r="D948" s="26"/>
      <c r="E948" s="1"/>
      <c r="F948" s="27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26"/>
      <c r="D949" s="26"/>
      <c r="E949" s="1"/>
      <c r="F949" s="27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26"/>
      <c r="D950" s="26"/>
      <c r="E950" s="1"/>
      <c r="F950" s="27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26"/>
      <c r="D951" s="26"/>
      <c r="E951" s="1"/>
      <c r="F951" s="27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26"/>
      <c r="D952" s="26"/>
      <c r="E952" s="1"/>
      <c r="F952" s="27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26"/>
      <c r="D953" s="26"/>
      <c r="E953" s="1"/>
      <c r="F953" s="27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26"/>
      <c r="D954" s="26"/>
      <c r="E954" s="1"/>
      <c r="F954" s="27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26"/>
      <c r="D955" s="26"/>
      <c r="E955" s="1"/>
      <c r="F955" s="27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26"/>
      <c r="D956" s="26"/>
      <c r="E956" s="1"/>
      <c r="F956" s="27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26"/>
      <c r="D957" s="26"/>
      <c r="E957" s="1"/>
      <c r="F957" s="27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26"/>
      <c r="D958" s="26"/>
      <c r="E958" s="1"/>
      <c r="F958" s="27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26"/>
      <c r="D959" s="26"/>
      <c r="E959" s="1"/>
      <c r="F959" s="27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26"/>
      <c r="D960" s="26"/>
      <c r="E960" s="1"/>
      <c r="F960" s="27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26"/>
      <c r="D961" s="26"/>
      <c r="E961" s="1"/>
      <c r="F961" s="27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26"/>
      <c r="D962" s="26"/>
      <c r="E962" s="1"/>
      <c r="F962" s="27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26"/>
      <c r="D963" s="26"/>
      <c r="E963" s="1"/>
      <c r="F963" s="27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26"/>
      <c r="D964" s="26"/>
      <c r="E964" s="1"/>
      <c r="F964" s="27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26"/>
      <c r="D965" s="26"/>
      <c r="E965" s="1"/>
      <c r="F965" s="27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26"/>
      <c r="D966" s="26"/>
      <c r="E966" s="1"/>
      <c r="F966" s="27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26"/>
      <c r="D967" s="26"/>
      <c r="E967" s="1"/>
      <c r="F967" s="27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26"/>
      <c r="D968" s="26"/>
      <c r="E968" s="1"/>
      <c r="F968" s="27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26"/>
      <c r="D969" s="26"/>
      <c r="E969" s="1"/>
      <c r="F969" s="27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26"/>
      <c r="D970" s="26"/>
      <c r="E970" s="1"/>
      <c r="F970" s="27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26"/>
      <c r="D971" s="26"/>
      <c r="E971" s="1"/>
      <c r="F971" s="27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26"/>
      <c r="D972" s="26"/>
      <c r="E972" s="1"/>
      <c r="F972" s="27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26"/>
      <c r="D973" s="26"/>
      <c r="E973" s="1"/>
      <c r="F973" s="27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26"/>
      <c r="D974" s="26"/>
      <c r="E974" s="1"/>
      <c r="F974" s="27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26"/>
      <c r="D975" s="26"/>
      <c r="E975" s="1"/>
      <c r="F975" s="27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26"/>
      <c r="D976" s="26"/>
      <c r="E976" s="1"/>
      <c r="F976" s="27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26"/>
      <c r="D977" s="26"/>
      <c r="E977" s="1"/>
      <c r="F977" s="27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26"/>
      <c r="D978" s="26"/>
      <c r="E978" s="1"/>
      <c r="F978" s="27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26"/>
      <c r="D979" s="26"/>
      <c r="E979" s="1"/>
      <c r="F979" s="27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26"/>
      <c r="D980" s="26"/>
      <c r="E980" s="1"/>
      <c r="F980" s="27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26"/>
      <c r="D981" s="26"/>
      <c r="E981" s="1"/>
      <c r="F981" s="27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26"/>
      <c r="D982" s="26"/>
      <c r="E982" s="1"/>
      <c r="F982" s="27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26"/>
      <c r="D983" s="26"/>
      <c r="E983" s="1"/>
      <c r="F983" s="27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26"/>
      <c r="D984" s="26"/>
      <c r="E984" s="1"/>
      <c r="F984" s="27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26"/>
      <c r="D985" s="26"/>
      <c r="E985" s="1"/>
      <c r="F985" s="27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26"/>
      <c r="D986" s="26"/>
      <c r="E986" s="1"/>
      <c r="F986" s="27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26"/>
      <c r="D987" s="26"/>
      <c r="E987" s="1"/>
      <c r="F987" s="27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26"/>
      <c r="D988" s="26"/>
      <c r="E988" s="1"/>
      <c r="F988" s="27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26"/>
      <c r="D989" s="26"/>
      <c r="E989" s="1"/>
      <c r="F989" s="27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26"/>
      <c r="D990" s="26"/>
      <c r="E990" s="1"/>
      <c r="F990" s="27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26"/>
      <c r="D991" s="26"/>
      <c r="E991" s="1"/>
      <c r="F991" s="27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26"/>
      <c r="D992" s="26"/>
      <c r="E992" s="1"/>
      <c r="F992" s="27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26"/>
      <c r="D993" s="26"/>
      <c r="E993" s="1"/>
      <c r="F993" s="27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26"/>
      <c r="D994" s="26"/>
      <c r="E994" s="1"/>
      <c r="F994" s="27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26"/>
      <c r="D995" s="26"/>
      <c r="E995" s="1"/>
      <c r="F995" s="27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26"/>
      <c r="D996" s="26"/>
      <c r="E996" s="1"/>
      <c r="F996" s="27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26"/>
      <c r="D997" s="26"/>
      <c r="E997" s="1"/>
      <c r="F997" s="27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26"/>
      <c r="D998" s="26"/>
      <c r="E998" s="1"/>
      <c r="F998" s="27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26"/>
      <c r="D999" s="26"/>
      <c r="E999" s="1"/>
      <c r="F999" s="27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26"/>
      <c r="D1000" s="26"/>
      <c r="E1000" s="1"/>
      <c r="F1000" s="27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1.22" defaultRowHeight="15.0"/>
  <cols>
    <col customWidth="1" min="1" max="1" width="11.67"/>
    <col customWidth="1" min="2" max="2" width="12.56"/>
    <col customWidth="1" min="3" max="3" width="13.89"/>
    <col customWidth="1" min="4" max="6" width="11.56"/>
    <col customWidth="1" min="7" max="7" width="14.33"/>
    <col customWidth="1" min="8" max="9" width="11.56"/>
    <col customWidth="1" min="10" max="10" width="12.44"/>
    <col customWidth="1" min="11" max="26" width="8.56"/>
  </cols>
  <sheetData>
    <row r="1" ht="54.75" customHeight="1">
      <c r="A1" s="1"/>
      <c r="B1" s="1"/>
      <c r="C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 t="s">
        <v>563</v>
      </c>
      <c r="C2" s="1" t="s">
        <v>11</v>
      </c>
      <c r="D2" s="1" t="s">
        <v>46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23" t="s">
        <v>564</v>
      </c>
      <c r="C3" s="25">
        <v>5117067.822</v>
      </c>
      <c r="D3" s="25">
        <v>110709.7859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23" t="s">
        <v>565</v>
      </c>
      <c r="C4" s="25">
        <v>3682842.73</v>
      </c>
      <c r="D4" s="25">
        <v>507223.3585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23" t="s">
        <v>566</v>
      </c>
      <c r="C5" s="25">
        <v>5859151.6435</v>
      </c>
      <c r="D5" s="25">
        <v>868111.3757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B6" s="23" t="s">
        <v>9</v>
      </c>
      <c r="C6" s="25">
        <v>1.46590621955E7</v>
      </c>
      <c r="D6" s="1">
        <v>1486044.5201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3C0B"/>
    <pageSetUpPr/>
  </sheetPr>
  <sheetViews>
    <sheetView workbookViewId="0"/>
  </sheetViews>
  <sheetFormatPr customHeight="1" defaultColWidth="11.22" defaultRowHeight="15.0"/>
  <cols>
    <col customWidth="1" min="1" max="1" width="21.56"/>
    <col customWidth="1" min="2" max="2" width="17.11"/>
    <col customWidth="1" min="3" max="6" width="13.33"/>
    <col customWidth="1" min="7" max="7" width="11.89"/>
    <col customWidth="1" min="8" max="8" width="14.33"/>
    <col customWidth="1" min="9" max="10" width="13.33"/>
    <col customWidth="1" min="11" max="26" width="8.56"/>
  </cols>
  <sheetData>
    <row r="1" ht="73.5" customHeight="1">
      <c r="A1" s="1"/>
      <c r="B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 t="s">
        <v>567</v>
      </c>
      <c r="C2" s="1" t="s">
        <v>568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 t="s">
        <v>569</v>
      </c>
      <c r="C3" s="1" t="s">
        <v>16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23" t="s">
        <v>570</v>
      </c>
      <c r="C4" s="38">
        <v>5495.21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23" t="s">
        <v>571</v>
      </c>
      <c r="C5" s="38">
        <v>4742.91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23" t="s">
        <v>572</v>
      </c>
      <c r="C6" s="38">
        <v>719.69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B7" s="23" t="s">
        <v>9</v>
      </c>
      <c r="C7" s="39">
        <v>10957.81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3C0B"/>
    <pageSetUpPr/>
  </sheetPr>
  <sheetViews>
    <sheetView workbookViewId="0"/>
  </sheetViews>
  <sheetFormatPr customHeight="1" defaultColWidth="11.22" defaultRowHeight="15.0"/>
  <cols>
    <col customWidth="1" min="1" max="1" width="5.44"/>
    <col customWidth="1" min="2" max="2" width="15.67"/>
    <col customWidth="1" min="3" max="3" width="11.78"/>
    <col customWidth="1" min="4" max="4" width="9.11"/>
    <col customWidth="1" min="5" max="5" width="9.22"/>
    <col customWidth="1" min="6" max="6" width="10.11"/>
    <col customWidth="1" min="7" max="7" width="4.33"/>
    <col customWidth="1" min="8" max="8" width="11.67"/>
    <col customWidth="1" min="9" max="9" width="9.0"/>
    <col customWidth="1" min="10" max="10" width="9.22"/>
    <col customWidth="1" min="11" max="11" width="11.67"/>
    <col customWidth="1" min="12" max="12" width="9.0"/>
    <col customWidth="1" min="13" max="13" width="9.22"/>
    <col customWidth="1" min="14" max="14" width="11.67"/>
    <col customWidth="1" min="15" max="15" width="9.0"/>
    <col customWidth="1" min="16" max="16" width="9.22"/>
    <col customWidth="1" min="17" max="17" width="16.11"/>
    <col customWidth="1" min="18" max="18" width="9.0"/>
    <col customWidth="1" min="19" max="19" width="9.22"/>
    <col customWidth="1" min="20" max="20" width="11.67"/>
    <col customWidth="1" min="21" max="21" width="9.0"/>
    <col customWidth="1" min="22" max="22" width="9.22"/>
    <col customWidth="1" min="23" max="23" width="11.67"/>
    <col customWidth="1" min="24" max="24" width="9.0"/>
    <col customWidth="1" min="25" max="25" width="9.22"/>
    <col customWidth="1" min="26" max="26" width="10.22"/>
  </cols>
  <sheetData>
    <row r="1" ht="15.75" customHeight="1">
      <c r="A1" s="1"/>
      <c r="B1" s="1"/>
      <c r="C1" s="1"/>
      <c r="D1" s="1"/>
      <c r="E1" s="1"/>
    </row>
    <row r="2" ht="15.75" customHeight="1">
      <c r="A2" s="1"/>
      <c r="B2" s="1"/>
      <c r="C2" s="1"/>
      <c r="D2" s="1"/>
      <c r="E2" s="1"/>
    </row>
    <row r="3" ht="15.75" customHeight="1">
      <c r="A3" s="1"/>
      <c r="B3" s="1"/>
      <c r="C3" s="1"/>
      <c r="D3" s="1"/>
      <c r="E3" s="1"/>
    </row>
    <row r="4" ht="15.75" customHeight="1">
      <c r="A4" s="1"/>
      <c r="B4" s="1" t="s">
        <v>573</v>
      </c>
      <c r="C4" s="1" t="s">
        <v>574</v>
      </c>
      <c r="D4" s="1"/>
      <c r="E4" s="1"/>
      <c r="F4" s="1"/>
    </row>
    <row r="5" ht="15.75" customHeight="1">
      <c r="A5" s="1"/>
      <c r="B5" s="1" t="s">
        <v>10</v>
      </c>
      <c r="C5" s="1" t="s">
        <v>570</v>
      </c>
      <c r="D5" s="1" t="s">
        <v>572</v>
      </c>
      <c r="E5" s="1" t="s">
        <v>571</v>
      </c>
      <c r="F5" s="1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23" t="s">
        <v>19</v>
      </c>
      <c r="C6" s="38">
        <v>1286.03</v>
      </c>
      <c r="D6" s="38">
        <v>104.62</v>
      </c>
      <c r="E6" s="38">
        <v>981.14</v>
      </c>
      <c r="F6" s="38">
        <v>2371.79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3" t="s">
        <v>18</v>
      </c>
      <c r="C7" s="38">
        <v>1783.67</v>
      </c>
      <c r="D7" s="38">
        <v>280.85</v>
      </c>
      <c r="E7" s="38">
        <v>2000.59</v>
      </c>
      <c r="F7" s="38">
        <v>4065.11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23" t="s">
        <v>17</v>
      </c>
      <c r="C8" s="38">
        <v>4169.86</v>
      </c>
      <c r="D8" s="38">
        <v>523.03</v>
      </c>
      <c r="E8" s="38">
        <v>3874.58</v>
      </c>
      <c r="F8" s="38">
        <v>8567.47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23" t="s">
        <v>16</v>
      </c>
      <c r="C9" s="38">
        <v>5495.21</v>
      </c>
      <c r="D9" s="38">
        <v>719.69</v>
      </c>
      <c r="E9" s="38">
        <v>4742.91</v>
      </c>
      <c r="F9" s="38">
        <v>10957.81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23" t="s">
        <v>15</v>
      </c>
      <c r="C10" s="38">
        <v>7691.4</v>
      </c>
      <c r="D10" s="38">
        <v>1181.98</v>
      </c>
      <c r="E10" s="38">
        <v>7470.64</v>
      </c>
      <c r="F10" s="38">
        <v>16344.02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23" t="s">
        <v>14</v>
      </c>
      <c r="C11" s="38">
        <v>8832.83</v>
      </c>
      <c r="D11" s="38">
        <v>1347.27</v>
      </c>
      <c r="E11" s="38">
        <v>9246.58</v>
      </c>
      <c r="F11" s="38">
        <v>19426.68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B12" s="23" t="s">
        <v>13</v>
      </c>
      <c r="C12" s="38">
        <v>9617.37</v>
      </c>
      <c r="D12" s="38">
        <v>1573.03</v>
      </c>
      <c r="E12" s="38">
        <v>8900.65</v>
      </c>
      <c r="F12" s="38">
        <v>20091.05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B13" s="23" t="s">
        <v>12</v>
      </c>
      <c r="C13" s="38">
        <v>12600.03</v>
      </c>
      <c r="D13" s="38">
        <v>1984.53</v>
      </c>
      <c r="E13" s="38">
        <v>9889.43</v>
      </c>
      <c r="F13" s="38">
        <v>24473.99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hidden="1" customHeight="1">
      <c r="B14" s="23" t="s">
        <v>9</v>
      </c>
      <c r="C14" s="38">
        <v>51476.4</v>
      </c>
      <c r="D14" s="38">
        <v>7715.0</v>
      </c>
      <c r="E14" s="38">
        <v>47106.52</v>
      </c>
      <c r="F14" s="38">
        <v>106297.92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B$5:$F$14">
    <filterColumn colId="0">
      <filters>
        <filter val="Midwest"/>
        <filter val="Mid-Atlantic"/>
        <filter val="Pacific"/>
        <filter val="West"/>
        <filter val="South"/>
        <filter val="Central"/>
        <filter val="Pacific Northwest"/>
        <filter val="Northeast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1.22" defaultRowHeight="15.0"/>
  <cols>
    <col customWidth="1" min="1" max="1" width="6.56"/>
    <col customWidth="1" min="2" max="2" width="24.11"/>
    <col customWidth="1" min="3" max="4" width="11.56"/>
    <col customWidth="1" min="5" max="5" width="11.89"/>
    <col customWidth="1" min="6" max="6" width="12.44"/>
    <col customWidth="1" min="7" max="7" width="14.33"/>
    <col customWidth="1" min="8" max="9" width="11.56"/>
    <col customWidth="1" min="10" max="10" width="12.44"/>
    <col customWidth="1" min="11" max="26" width="8.56"/>
  </cols>
  <sheetData>
    <row r="1" ht="15.75" customHeight="1">
      <c r="A1" s="1"/>
      <c r="B1" s="1"/>
      <c r="C1" s="1"/>
      <c r="D1" s="1"/>
      <c r="E1" s="1"/>
      <c r="F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1.0" customHeight="1">
      <c r="A2" s="1"/>
      <c r="B2" s="1"/>
      <c r="C2" s="1"/>
      <c r="D2" s="1"/>
      <c r="E2" s="1"/>
      <c r="F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 t="s">
        <v>11</v>
      </c>
      <c r="C4" s="1" t="s">
        <v>575</v>
      </c>
      <c r="D4" s="1"/>
      <c r="E4" s="1"/>
      <c r="F4" s="1"/>
      <c r="G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 t="s">
        <v>576</v>
      </c>
      <c r="C5" s="1" t="s">
        <v>577</v>
      </c>
      <c r="D5" s="1" t="s">
        <v>578</v>
      </c>
      <c r="E5" s="1" t="s">
        <v>579</v>
      </c>
      <c r="F5" s="1" t="s">
        <v>580</v>
      </c>
      <c r="G5" s="1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23" t="s">
        <v>581</v>
      </c>
      <c r="C6" s="26">
        <v>886239.2935</v>
      </c>
      <c r="D6" s="26">
        <v>1912978.636</v>
      </c>
      <c r="E6" s="26">
        <v>1205204.398</v>
      </c>
      <c r="F6" s="26">
        <v>962503.875</v>
      </c>
      <c r="G6" s="26">
        <v>4966926.2025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3" t="s">
        <v>582</v>
      </c>
      <c r="C7" s="26">
        <v>676550.258</v>
      </c>
      <c r="D7" s="26">
        <v>1323933.23</v>
      </c>
      <c r="E7" s="26">
        <v>711409.15</v>
      </c>
      <c r="F7" s="26">
        <v>655952.266</v>
      </c>
      <c r="G7" s="26">
        <v>3367844.904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23" t="s">
        <v>583</v>
      </c>
      <c r="C8" s="26">
        <v>603727.7</v>
      </c>
      <c r="D8" s="26">
        <v>1012560.536</v>
      </c>
      <c r="E8" s="26">
        <v>647717.744</v>
      </c>
      <c r="F8" s="26">
        <v>516711.384</v>
      </c>
      <c r="G8" s="26">
        <v>2780717.364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23" t="s">
        <v>584</v>
      </c>
      <c r="C9" s="26">
        <v>530856.826</v>
      </c>
      <c r="D9" s="26">
        <v>612236.658</v>
      </c>
      <c r="E9" s="26">
        <v>528898.724</v>
      </c>
      <c r="F9" s="26">
        <v>371937.356</v>
      </c>
      <c r="G9" s="26">
        <v>2043929.564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23" t="s">
        <v>585</v>
      </c>
      <c r="C10" s="26">
        <v>163292.602</v>
      </c>
      <c r="D10" s="26">
        <v>239367.117</v>
      </c>
      <c r="E10" s="26">
        <v>180728.5275</v>
      </c>
      <c r="F10" s="26">
        <v>103793.6275</v>
      </c>
      <c r="G10" s="26">
        <v>687181.874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B11" s="23" t="s">
        <v>586</v>
      </c>
      <c r="C11" s="26">
        <v>103391.037</v>
      </c>
      <c r="D11" s="26">
        <v>206174.4815</v>
      </c>
      <c r="E11" s="26">
        <v>127760.0155</v>
      </c>
      <c r="F11" s="26">
        <v>103552.3285</v>
      </c>
      <c r="G11" s="26">
        <v>540877.8625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B12" s="23" t="s">
        <v>587</v>
      </c>
      <c r="C12" s="26">
        <v>54315.9575</v>
      </c>
      <c r="D12" s="26">
        <v>102665.3955</v>
      </c>
      <c r="E12" s="26">
        <v>65573.2385</v>
      </c>
      <c r="F12" s="26">
        <v>49029.833</v>
      </c>
      <c r="G12" s="26">
        <v>271584.4245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B13" s="23" t="s">
        <v>9</v>
      </c>
      <c r="C13" s="26">
        <v>3018373.674</v>
      </c>
      <c r="D13" s="26">
        <v>5409916.054</v>
      </c>
      <c r="E13" s="26">
        <v>3467291.7975</v>
      </c>
      <c r="F13" s="26">
        <v>2763480.67</v>
      </c>
      <c r="G13" s="26">
        <v>1.46590621955E7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1.22" defaultRowHeight="15.0"/>
  <cols>
    <col customWidth="1" min="1" max="1" width="2.89"/>
    <col customWidth="1" min="2" max="2" width="29.11"/>
    <col customWidth="1" min="3" max="3" width="14.33"/>
    <col customWidth="1" min="4" max="4" width="10.44"/>
    <col customWidth="1" min="5" max="5" width="11.89"/>
    <col customWidth="1" min="6" max="6" width="11.56"/>
    <col customWidth="1" min="7" max="7" width="14.33"/>
    <col customWidth="1" min="8" max="9" width="11.56"/>
    <col customWidth="1" min="10" max="10" width="12.44"/>
    <col customWidth="1" min="11" max="26" width="8.56"/>
  </cols>
  <sheetData>
    <row r="1" ht="59.25" customHeight="1">
      <c r="A1" s="1"/>
      <c r="B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 t="s">
        <v>588</v>
      </c>
      <c r="C2" s="1" t="s">
        <v>46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23" t="s">
        <v>581</v>
      </c>
      <c r="C3" s="40">
        <v>902580.5287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23" t="s">
        <v>582</v>
      </c>
      <c r="C4" s="26">
        <v>346827.1145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23" t="s">
        <v>584</v>
      </c>
      <c r="C5" s="26">
        <v>105641.5355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23" t="s">
        <v>585</v>
      </c>
      <c r="C6" s="26">
        <v>99619.1671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3" t="s">
        <v>586</v>
      </c>
      <c r="C7" s="26">
        <v>88070.01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23" t="s">
        <v>587</v>
      </c>
      <c r="C8" s="26">
        <v>26929.314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23" t="s">
        <v>583</v>
      </c>
      <c r="C9" s="41">
        <v>-83623.1497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B10" s="23" t="s">
        <v>9</v>
      </c>
      <c r="C10" s="26">
        <v>1486044.5201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18.44"/>
    <col customWidth="1" min="3" max="4" width="11.56"/>
    <col customWidth="1" min="5" max="5" width="16.0"/>
    <col customWidth="1" min="6" max="6" width="11.56"/>
    <col customWidth="1" min="7" max="7" width="16.0"/>
    <col customWidth="1" min="8" max="8" width="11.89"/>
    <col customWidth="1" min="9" max="9" width="16.0"/>
    <col customWidth="1" min="10" max="10" width="15.0"/>
    <col customWidth="1" min="11" max="11" width="20.33"/>
    <col customWidth="1" min="12" max="26" width="8.56"/>
  </cols>
  <sheetData>
    <row r="1" ht="49.5" customHeight="1">
      <c r="A1" s="1"/>
      <c r="B1" s="1"/>
      <c r="C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 t="s">
        <v>588</v>
      </c>
      <c r="C2" s="1" t="s">
        <v>11</v>
      </c>
      <c r="D2" s="1" t="s">
        <v>589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23" t="s">
        <v>581</v>
      </c>
      <c r="C3" s="40">
        <v>959947.8375</v>
      </c>
      <c r="D3" s="40">
        <v>1008662.6248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23" t="s">
        <v>582</v>
      </c>
      <c r="C4" s="26">
        <v>760938.412</v>
      </c>
      <c r="D4" s="26">
        <v>809228.6491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23" t="s">
        <v>583</v>
      </c>
      <c r="C5" s="41">
        <v>558471.036</v>
      </c>
      <c r="D5" s="41">
        <v>533333.0428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23" t="s">
        <v>584</v>
      </c>
      <c r="C6" s="26">
        <v>449650.262</v>
      </c>
      <c r="D6" s="26">
        <v>482235.1821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3" t="s">
        <v>585</v>
      </c>
      <c r="C7" s="26">
        <v>107205.853</v>
      </c>
      <c r="D7" s="26">
        <v>128224.7953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23" t="s">
        <v>586</v>
      </c>
      <c r="C8" s="26">
        <v>104307.095</v>
      </c>
      <c r="D8" s="26">
        <v>103990.3752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23" t="s">
        <v>587</v>
      </c>
      <c r="C9" s="26">
        <v>41283.353</v>
      </c>
      <c r="D9" s="26">
        <v>41014.4472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B10" s="23" t="s">
        <v>9</v>
      </c>
      <c r="C10" s="26">
        <v>2981803.8485</v>
      </c>
      <c r="D10" s="26">
        <v>3106689.1165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66FF"/>
    <pageSetUpPr/>
  </sheetPr>
  <sheetViews>
    <sheetView workbookViewId="0"/>
  </sheetViews>
  <sheetFormatPr customHeight="1" defaultColWidth="11.22" defaultRowHeight="15.0"/>
  <cols>
    <col customWidth="1" min="1" max="1" width="3.0"/>
    <col customWidth="1" min="2" max="2" width="12.44"/>
    <col customWidth="1" min="3" max="3" width="16.0"/>
    <col customWidth="1" min="4" max="4" width="16.56"/>
    <col customWidth="1" min="5" max="6" width="11.56"/>
    <col customWidth="1" min="7" max="7" width="15.89"/>
    <col customWidth="1" min="8" max="26" width="8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 t="s">
        <v>569</v>
      </c>
      <c r="C5" s="1" t="s">
        <v>34</v>
      </c>
      <c r="D5" s="1" t="s">
        <v>590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23" t="s">
        <v>564</v>
      </c>
      <c r="C6" s="25">
        <v>5117067.822</v>
      </c>
      <c r="D6" s="1">
        <v>4916102.3639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3" t="s">
        <v>565</v>
      </c>
      <c r="C7" s="25">
        <v>3682842.73</v>
      </c>
      <c r="D7" s="1">
        <v>3728029.3977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23" t="s">
        <v>566</v>
      </c>
      <c r="C8" s="25">
        <v>5859151.6435</v>
      </c>
      <c r="D8" s="1">
        <v>5985917.5733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23" t="s">
        <v>9</v>
      </c>
      <c r="C9" s="25">
        <v>1.46590621955E7</v>
      </c>
      <c r="D9" s="1">
        <v>1.46300493349E7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66FF"/>
    <pageSetUpPr/>
  </sheetPr>
  <sheetViews>
    <sheetView workbookViewId="0"/>
  </sheetViews>
  <sheetFormatPr customHeight="1" defaultColWidth="11.22" defaultRowHeight="15.0"/>
  <cols>
    <col customWidth="1" min="1" max="2" width="11.78"/>
    <col customWidth="1" min="3" max="4" width="10.11"/>
    <col customWidth="1" min="5" max="6" width="11.56"/>
    <col customWidth="1" min="7" max="7" width="15.89"/>
    <col customWidth="1" min="8" max="26" width="8.56"/>
  </cols>
  <sheetData>
    <row r="1" ht="5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 t="s">
        <v>591</v>
      </c>
      <c r="C3" s="1" t="s">
        <v>46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23" t="s">
        <v>564</v>
      </c>
      <c r="C4" s="24">
        <v>23629.8244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23" t="s">
        <v>565</v>
      </c>
      <c r="C5" s="24">
        <v>43756.257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23" t="s">
        <v>566</v>
      </c>
      <c r="C6" s="24">
        <v>68696.7127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3" t="s">
        <v>9</v>
      </c>
      <c r="C7" s="24">
        <v>136082.7941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2024-09-28T20:10:53Z</dcterms:created>
  <dc:creator>Michael Aboagye</dc:creator>
</cp:coreProperties>
</file>