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charts/chart1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ichael\Desktop\sales-data-analysis-with-spreadsheet-main\sales-data-analysis-excel spreadsheet\"/>
    </mc:Choice>
  </mc:AlternateContent>
  <xr:revisionPtr revIDLastSave="0" documentId="13_ncr:1_{5D03323B-8F25-4959-A3C4-83F28D7D4606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Sales by Qtr" sheetId="1" r:id="rId1"/>
    <sheet name="Sales by Region" sheetId="2" r:id="rId2"/>
    <sheet name="Sales by Month" sheetId="3" r:id="rId3"/>
    <sheet name="Sales by State" sheetId="4" r:id="rId4"/>
    <sheet name="Profit by City" sheetId="5" r:id="rId5"/>
    <sheet name="Product sales v. Profit" sheetId="6" r:id="rId6"/>
    <sheet name="Shipping Cost v. Delivery Mode" sheetId="7" r:id="rId7"/>
    <sheet name="Marketing Channel v. Customer" sheetId="8" r:id="rId8"/>
    <sheet name="Marketing Channel v. Profit" sheetId="9" r:id="rId9"/>
    <sheet name="Marketing Channels v. Sales Per" sheetId="10" r:id="rId10"/>
    <sheet name="Product Category" sheetId="11" r:id="rId11"/>
    <sheet name="Product Profit" sheetId="12" r:id="rId12"/>
  </sheets>
  <definedNames>
    <definedName name="_xlnm._FilterDatabase" localSheetId="7" hidden="1">'Marketing Channel v. Customer'!$B$3:$G$11</definedName>
    <definedName name="_xlnm._FilterDatabase" localSheetId="8" hidden="1">'Marketing Channel v. Profit'!$B$3:$C$11</definedName>
    <definedName name="_xlnm._FilterDatabase" localSheetId="9" hidden="1">'Marketing Channels v. Sales Per'!$B$3:$D$11</definedName>
    <definedName name="_xlnm._FilterDatabase" localSheetId="10" hidden="1">'Product Category'!$B$3:$D$7</definedName>
    <definedName name="_xlnm._FilterDatabase" localSheetId="11" hidden="1">'Product Profit'!$A$3:$B$7</definedName>
    <definedName name="_xlnm._FilterDatabase" localSheetId="5" hidden="1">'Product sales v. Profit'!$B$3:$D$7</definedName>
    <definedName name="_xlnm._FilterDatabase" localSheetId="2" hidden="1">'Sales by Month'!$B$2:$D$19</definedName>
    <definedName name="_xlnm._FilterDatabase" localSheetId="0" hidden="1">'Sales by Qtr'!$B$2:$E$7</definedName>
    <definedName name="_xlnm._FilterDatabase" localSheetId="3" hidden="1">'Sales by State'!$B$1:$C$13</definedName>
    <definedName name="_xlnm._FilterDatabase" localSheetId="6" hidden="1">'Shipping Cost v. Delivery Mode'!$B$3:$F$12</definedName>
    <definedName name="Slicer_Region">#REF!</definedName>
    <definedName name="Slicer_Region1">#REF!</definedName>
    <definedName name="Slicer_Region2">#REF!</definedName>
    <definedName name="Slicer_Region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Y6DaPDO8RI+Jy+e01+r11pgQdTqA6C1QkFfTH0LE6+k="/>
    </ext>
  </extLst>
</workbook>
</file>

<file path=xl/calcChain.xml><?xml version="1.0" encoding="utf-8"?>
<calcChain xmlns="http://schemas.openxmlformats.org/spreadsheetml/2006/main">
  <c r="E341" i="5" l="1"/>
  <c r="E65" i="5"/>
  <c r="E67" i="5"/>
  <c r="E317" i="5"/>
  <c r="E291" i="5"/>
  <c r="E75" i="5"/>
  <c r="E148" i="5"/>
  <c r="E216" i="5"/>
  <c r="E152" i="5"/>
  <c r="E78" i="5"/>
  <c r="E36" i="5"/>
  <c r="E284" i="5"/>
  <c r="E168" i="5"/>
  <c r="E29" i="5"/>
  <c r="E307" i="5"/>
  <c r="E360" i="5"/>
  <c r="E77" i="5"/>
  <c r="E59" i="5"/>
  <c r="E79" i="5"/>
  <c r="E320" i="5"/>
  <c r="E12" i="5"/>
  <c r="E51" i="5"/>
  <c r="E83" i="5"/>
  <c r="E44" i="5"/>
  <c r="E259" i="5"/>
  <c r="E7" i="5"/>
  <c r="E22" i="5"/>
  <c r="E167" i="5"/>
  <c r="E38" i="5"/>
  <c r="E315" i="5"/>
  <c r="E130" i="5"/>
  <c r="E271" i="5"/>
  <c r="E188" i="5"/>
  <c r="E32" i="5"/>
  <c r="E213" i="5"/>
  <c r="E69" i="5"/>
  <c r="E61" i="5"/>
  <c r="E149" i="5"/>
  <c r="E66" i="5"/>
  <c r="E49" i="5"/>
  <c r="E17" i="5"/>
  <c r="E139" i="5"/>
  <c r="E100" i="5"/>
  <c r="E358" i="5"/>
  <c r="E111" i="5"/>
  <c r="E15" i="5"/>
  <c r="E102" i="5"/>
  <c r="E217" i="5"/>
  <c r="E169" i="5"/>
  <c r="E362" i="5"/>
  <c r="E8" i="5"/>
  <c r="E294" i="5"/>
  <c r="E245" i="5"/>
  <c r="E270" i="5"/>
  <c r="E151" i="5"/>
  <c r="E199" i="5"/>
  <c r="E240" i="5"/>
  <c r="E39" i="5"/>
  <c r="E192" i="5"/>
  <c r="E361" i="5"/>
  <c r="E46" i="5"/>
  <c r="E37" i="5"/>
  <c r="E306" i="5"/>
  <c r="E57" i="5"/>
  <c r="E14" i="5"/>
  <c r="E89" i="5"/>
  <c r="E40" i="5"/>
  <c r="E202" i="5"/>
  <c r="E184" i="5"/>
  <c r="E63" i="5"/>
  <c r="E54" i="5"/>
  <c r="E21" i="5"/>
  <c r="E70" i="5"/>
  <c r="E356" i="5"/>
  <c r="E194" i="5"/>
  <c r="E18" i="5"/>
  <c r="E189" i="5"/>
  <c r="E171" i="5"/>
  <c r="E107" i="5"/>
  <c r="E120" i="5"/>
  <c r="E55" i="5"/>
  <c r="E267" i="5"/>
  <c r="E125" i="5"/>
  <c r="E229" i="5"/>
  <c r="E150" i="5"/>
  <c r="E293" i="5"/>
  <c r="E26" i="5"/>
  <c r="E146" i="5"/>
  <c r="E262" i="5"/>
  <c r="E314" i="5"/>
  <c r="E41" i="5"/>
  <c r="E93" i="5"/>
  <c r="E23" i="5"/>
  <c r="E365" i="5"/>
  <c r="E95" i="5"/>
  <c r="E305" i="5"/>
  <c r="E27" i="5"/>
  <c r="E74" i="5"/>
  <c r="E11" i="5"/>
  <c r="E118" i="5"/>
  <c r="E101" i="5"/>
  <c r="E228" i="5"/>
  <c r="E258" i="5"/>
  <c r="E145" i="5"/>
  <c r="E297" i="5"/>
  <c r="E239" i="5"/>
  <c r="E144" i="5"/>
  <c r="E104" i="5"/>
  <c r="E60" i="5"/>
  <c r="E162" i="5"/>
  <c r="E103" i="5"/>
  <c r="E88" i="5"/>
  <c r="E4" i="5"/>
  <c r="E310" i="5"/>
  <c r="E82" i="5"/>
  <c r="E298" i="5"/>
  <c r="E333" i="5"/>
  <c r="E141" i="5"/>
  <c r="E84" i="5"/>
  <c r="E56" i="5"/>
  <c r="E33" i="5"/>
  <c r="E263" i="5"/>
  <c r="E16" i="5"/>
  <c r="E172" i="5"/>
  <c r="E186" i="5"/>
  <c r="E53" i="5"/>
  <c r="E30" i="5"/>
  <c r="E62" i="5"/>
  <c r="E249" i="5"/>
  <c r="E219" i="5"/>
  <c r="E25" i="5"/>
  <c r="E106" i="5"/>
  <c r="E265" i="5"/>
  <c r="E112" i="5"/>
  <c r="E198" i="5"/>
  <c r="E177" i="5"/>
  <c r="E279" i="5"/>
  <c r="E96" i="5"/>
  <c r="E124" i="5"/>
  <c r="E334" i="5"/>
  <c r="E90" i="5"/>
  <c r="E127" i="5"/>
  <c r="E52" i="5"/>
  <c r="E203" i="5"/>
  <c r="E185" i="5"/>
  <c r="E206" i="5"/>
  <c r="E371" i="5"/>
  <c r="E174" i="5"/>
  <c r="E24" i="5"/>
  <c r="E182" i="5"/>
  <c r="E212" i="5"/>
  <c r="E154" i="5"/>
  <c r="E272" i="5"/>
  <c r="E318" i="5"/>
  <c r="E19" i="5"/>
  <c r="E34" i="5"/>
  <c r="E253" i="5"/>
  <c r="E175" i="5"/>
  <c r="E48" i="5"/>
  <c r="E158" i="5"/>
  <c r="E233" i="5"/>
  <c r="E156" i="5"/>
  <c r="E357" i="5"/>
  <c r="E81" i="5"/>
  <c r="E5" i="5"/>
  <c r="E97" i="5"/>
  <c r="E110" i="5"/>
  <c r="E248" i="5"/>
  <c r="E35" i="5"/>
  <c r="E163" i="5"/>
  <c r="E283" i="5"/>
  <c r="E6" i="5"/>
  <c r="E319" i="5"/>
  <c r="E43" i="5"/>
  <c r="E140" i="5"/>
  <c r="E331" i="5"/>
  <c r="E160" i="5"/>
  <c r="E42" i="5"/>
  <c r="E47" i="5"/>
  <c r="E94" i="5"/>
  <c r="E45" i="5"/>
  <c r="E173" i="5"/>
  <c r="E91" i="5"/>
  <c r="E123" i="5"/>
  <c r="E338" i="5"/>
  <c r="E115" i="5"/>
  <c r="E142" i="5"/>
  <c r="E147" i="5"/>
  <c r="E180" i="5"/>
  <c r="E108" i="5"/>
  <c r="E223" i="5"/>
  <c r="E134" i="5"/>
  <c r="E230" i="5"/>
  <c r="E68" i="5"/>
  <c r="E191" i="5"/>
  <c r="E9" i="5"/>
  <c r="E137" i="5"/>
  <c r="E164" i="5"/>
  <c r="E349" i="5"/>
  <c r="E76" i="5"/>
  <c r="E135" i="5"/>
  <c r="E237" i="5"/>
  <c r="E218" i="5"/>
  <c r="E128" i="5"/>
  <c r="E31" i="5"/>
  <c r="E183" i="5"/>
  <c r="E86" i="5"/>
  <c r="E126" i="5"/>
  <c r="E295" i="5"/>
  <c r="E282" i="5"/>
  <c r="E28" i="5"/>
  <c r="E190" i="5"/>
  <c r="E257" i="5"/>
  <c r="E165" i="5"/>
  <c r="E10" i="5"/>
  <c r="E181" i="5"/>
  <c r="E73" i="5"/>
  <c r="E204" i="5"/>
  <c r="E178" i="5"/>
  <c r="E225" i="5"/>
  <c r="E58" i="5"/>
  <c r="E114" i="5"/>
  <c r="E159" i="5"/>
  <c r="E255" i="5"/>
  <c r="E64" i="5"/>
  <c r="E339" i="5"/>
  <c r="E119" i="5"/>
  <c r="E288" i="5"/>
  <c r="E238" i="5"/>
  <c r="E99" i="5"/>
  <c r="E201" i="5"/>
  <c r="E226" i="5"/>
  <c r="E131" i="5"/>
  <c r="E157" i="5"/>
  <c r="E113" i="5"/>
  <c r="E92" i="5"/>
  <c r="E220" i="5"/>
  <c r="E117" i="5"/>
  <c r="E176" i="5"/>
  <c r="E222" i="5"/>
  <c r="E129" i="5"/>
  <c r="E166" i="5"/>
  <c r="E122" i="5"/>
  <c r="E138" i="5"/>
  <c r="E211" i="5"/>
  <c r="E347" i="5"/>
  <c r="E207" i="5"/>
  <c r="E80" i="5"/>
  <c r="E85" i="5"/>
  <c r="E153" i="5"/>
  <c r="E251" i="5"/>
  <c r="E244" i="5"/>
  <c r="E105" i="5"/>
  <c r="E344" i="5"/>
  <c r="E197" i="5"/>
  <c r="E252" i="5"/>
  <c r="E273" i="5"/>
  <c r="E121" i="5"/>
  <c r="E136" i="5"/>
  <c r="E155" i="5"/>
  <c r="E133" i="5"/>
  <c r="E276" i="5"/>
  <c r="E87" i="5"/>
  <c r="E72" i="5"/>
  <c r="E13" i="5"/>
  <c r="E345" i="5"/>
  <c r="E132" i="5"/>
  <c r="E234" i="5"/>
  <c r="E243" i="5"/>
  <c r="E116" i="5"/>
  <c r="E200" i="5"/>
  <c r="E161" i="5"/>
  <c r="E367" i="5"/>
  <c r="E214" i="5"/>
  <c r="E330" i="5"/>
  <c r="E308" i="5"/>
  <c r="E309" i="5"/>
  <c r="E195" i="5"/>
  <c r="E363" i="5"/>
  <c r="E109" i="5"/>
  <c r="E264" i="5"/>
  <c r="E352" i="5"/>
  <c r="E208" i="5"/>
  <c r="E335" i="5"/>
  <c r="E247" i="5"/>
  <c r="E313" i="5"/>
  <c r="E275" i="5"/>
  <c r="E292" i="5"/>
  <c r="E215" i="5"/>
  <c r="E269" i="5"/>
  <c r="E20" i="5"/>
  <c r="E281" i="5"/>
  <c r="E260" i="5"/>
  <c r="E143" i="5"/>
  <c r="E372" i="5"/>
  <c r="E187" i="5"/>
  <c r="E312" i="5"/>
  <c r="E296" i="5"/>
  <c r="E321" i="5"/>
  <c r="E316" i="5"/>
  <c r="E170" i="5"/>
  <c r="E278" i="5"/>
  <c r="E209" i="5"/>
  <c r="E179" i="5"/>
  <c r="E236" i="5"/>
  <c r="E327" i="5"/>
  <c r="E301" i="5"/>
  <c r="E50" i="5"/>
  <c r="E355" i="5"/>
  <c r="E71" i="5"/>
  <c r="E286" i="5"/>
  <c r="E227" i="5"/>
  <c r="E235" i="5"/>
  <c r="E232" i="5"/>
  <c r="E196" i="5"/>
  <c r="E250" i="5"/>
  <c r="E98" i="5"/>
  <c r="E370" i="5"/>
  <c r="E210" i="5"/>
  <c r="E324" i="5"/>
  <c r="E193" i="5"/>
  <c r="E287" i="5"/>
  <c r="E205" i="5"/>
  <c r="E254" i="5"/>
  <c r="E325" i="5"/>
  <c r="E359" i="5"/>
  <c r="E246" i="5"/>
  <c r="E285" i="5"/>
  <c r="E328" i="5"/>
  <c r="E342" i="5"/>
  <c r="E300" i="5"/>
  <c r="E268" i="5"/>
  <c r="E256" i="5"/>
  <c r="E221" i="5"/>
  <c r="E280" i="5"/>
  <c r="E369" i="5"/>
  <c r="E231" i="5"/>
  <c r="E343" i="5"/>
  <c r="E322" i="5"/>
  <c r="E266" i="5"/>
  <c r="E332" i="5"/>
  <c r="E290" i="5"/>
  <c r="E261" i="5"/>
  <c r="E274" i="5"/>
  <c r="E302" i="5"/>
  <c r="E277" i="5"/>
  <c r="E340" i="5"/>
  <c r="E366" i="5"/>
  <c r="E329" i="5"/>
  <c r="E224" i="5"/>
  <c r="E311" i="5"/>
  <c r="E374" i="5"/>
  <c r="E351" i="5"/>
  <c r="E304" i="5"/>
  <c r="E242" i="5"/>
  <c r="E337" i="5"/>
  <c r="E354" i="5"/>
  <c r="E373" i="5"/>
  <c r="E336" i="5"/>
  <c r="E303" i="5"/>
  <c r="E323" i="5"/>
  <c r="E326" i="5"/>
  <c r="E346" i="5"/>
  <c r="E353" i="5"/>
  <c r="E299" i="5"/>
  <c r="E368" i="5"/>
  <c r="E364" i="5"/>
  <c r="E350" i="5"/>
  <c r="E348" i="5"/>
  <c r="E289" i="5"/>
  <c r="E378" i="5"/>
  <c r="E375" i="5"/>
  <c r="E411" i="5"/>
  <c r="E394" i="5"/>
  <c r="E376" i="5"/>
  <c r="E426" i="5"/>
  <c r="E381" i="5"/>
  <c r="E403" i="5"/>
  <c r="E389" i="5"/>
  <c r="E421" i="5"/>
  <c r="E418" i="5"/>
  <c r="E438" i="5"/>
  <c r="E397" i="5"/>
  <c r="E413" i="5"/>
  <c r="E385" i="5"/>
  <c r="E430" i="5"/>
  <c r="E404" i="5"/>
  <c r="E383" i="5"/>
  <c r="E379" i="5"/>
  <c r="E425" i="5"/>
  <c r="E446" i="5"/>
  <c r="E423" i="5"/>
  <c r="E432" i="5"/>
  <c r="E428" i="5"/>
  <c r="E441" i="5"/>
  <c r="E477" i="5"/>
  <c r="E480" i="5"/>
  <c r="E393" i="5"/>
  <c r="E447" i="5"/>
  <c r="E392" i="5"/>
  <c r="E390" i="5"/>
  <c r="E408" i="5"/>
  <c r="E395" i="5"/>
  <c r="E434" i="5"/>
  <c r="E435" i="5"/>
  <c r="E420" i="5"/>
  <c r="E476" i="5"/>
  <c r="E471" i="5"/>
  <c r="E436" i="5"/>
  <c r="E409" i="5"/>
  <c r="E384" i="5"/>
  <c r="E433" i="5"/>
  <c r="E402" i="5"/>
  <c r="E445" i="5"/>
  <c r="E431" i="5"/>
  <c r="E398" i="5"/>
  <c r="E462" i="5"/>
  <c r="E388" i="5"/>
  <c r="E396" i="5"/>
  <c r="E424" i="5"/>
  <c r="E469" i="5"/>
  <c r="E457" i="5"/>
  <c r="E454" i="5"/>
  <c r="E437" i="5"/>
  <c r="E455" i="5"/>
  <c r="E478" i="5"/>
  <c r="E465" i="5"/>
  <c r="E472" i="5"/>
  <c r="E468" i="5"/>
  <c r="E484" i="5"/>
  <c r="E502" i="5"/>
  <c r="E464" i="5"/>
  <c r="E505" i="5"/>
  <c r="E449" i="5"/>
  <c r="E492" i="5"/>
  <c r="E499" i="5"/>
  <c r="E422" i="5"/>
  <c r="E488" i="5"/>
  <c r="E407" i="5"/>
  <c r="E497" i="5"/>
  <c r="E482" i="5"/>
  <c r="E470" i="5"/>
  <c r="E503" i="5"/>
  <c r="E456" i="5"/>
  <c r="E504" i="5"/>
  <c r="E493" i="5"/>
  <c r="E377" i="5"/>
  <c r="E386" i="5"/>
  <c r="E495" i="5"/>
  <c r="E412" i="5"/>
  <c r="E443" i="5"/>
  <c r="E399" i="5"/>
  <c r="E452" i="5"/>
  <c r="E414" i="5"/>
  <c r="E461" i="5"/>
  <c r="E506" i="5"/>
  <c r="E463" i="5"/>
  <c r="E450" i="5"/>
  <c r="E442" i="5"/>
  <c r="E439" i="5"/>
  <c r="E387" i="5"/>
  <c r="E510" i="5"/>
  <c r="E429" i="5"/>
  <c r="E400" i="5"/>
  <c r="E496" i="5"/>
  <c r="E417" i="5"/>
  <c r="E498" i="5"/>
  <c r="E487" i="5"/>
  <c r="E451" i="5"/>
  <c r="E483" i="5"/>
  <c r="E507" i="5"/>
  <c r="E473" i="5"/>
  <c r="E508" i="5"/>
  <c r="E444" i="5"/>
  <c r="E491" i="5"/>
  <c r="E485" i="5"/>
  <c r="E415" i="5"/>
  <c r="E440" i="5"/>
  <c r="E460" i="5"/>
  <c r="E474" i="5"/>
  <c r="E481" i="5"/>
  <c r="E516" i="5"/>
  <c r="E466" i="5"/>
  <c r="E513" i="5"/>
  <c r="E391" i="5"/>
  <c r="E494" i="5"/>
  <c r="E459" i="5"/>
  <c r="E515" i="5"/>
  <c r="E489" i="5"/>
  <c r="E486" i="5"/>
  <c r="E410" i="5"/>
  <c r="E467" i="5"/>
  <c r="E501" i="5"/>
  <c r="E448" i="5"/>
  <c r="E500" i="5"/>
  <c r="E458" i="5"/>
  <c r="E419" i="5"/>
  <c r="E512" i="5"/>
  <c r="E406" i="5"/>
  <c r="E511" i="5"/>
  <c r="E405" i="5"/>
  <c r="E453" i="5"/>
  <c r="E380" i="5"/>
  <c r="E382" i="5"/>
  <c r="E475" i="5"/>
  <c r="E490" i="5"/>
  <c r="E509" i="5"/>
  <c r="E479" i="5"/>
  <c r="E401" i="5"/>
  <c r="E416" i="5"/>
  <c r="E514" i="5"/>
  <c r="E427" i="5"/>
  <c r="E241" i="5"/>
  <c r="F4" i="5" a="1"/>
  <c r="F11" i="5" s="1"/>
  <c r="C13" i="4"/>
  <c r="B22" i="2"/>
  <c r="C21" i="2"/>
  <c r="C20" i="2"/>
  <c r="C19" i="2"/>
  <c r="C18" i="2"/>
  <c r="C17" i="2"/>
  <c r="C16" i="2"/>
  <c r="C15" i="2"/>
  <c r="C14" i="2"/>
  <c r="E6" i="1"/>
  <c r="E5" i="1"/>
  <c r="E4" i="1"/>
  <c r="E3" i="1"/>
  <c r="C22" i="2" l="1"/>
  <c r="F8" i="5"/>
  <c r="F5" i="5"/>
  <c r="F9" i="5"/>
  <c r="F6" i="5"/>
  <c r="F10" i="5"/>
  <c r="F4" i="5"/>
  <c r="F7" i="5"/>
  <c r="C11" i="2"/>
</calcChain>
</file>

<file path=xl/sharedStrings.xml><?xml version="1.0" encoding="utf-8"?>
<sst xmlns="http://schemas.openxmlformats.org/spreadsheetml/2006/main" count="652" uniqueCount="596">
  <si>
    <t>Sales Performance by each Quarter</t>
  </si>
  <si>
    <t>Period</t>
  </si>
  <si>
    <t>Sales Target</t>
  </si>
  <si>
    <t xml:space="preserve"> Sales</t>
  </si>
  <si>
    <t>%CHANGE</t>
  </si>
  <si>
    <t>Qtr1</t>
  </si>
  <si>
    <t>Qtr2</t>
  </si>
  <si>
    <t>Qtr3</t>
  </si>
  <si>
    <t>Qtr4</t>
  </si>
  <si>
    <t>Grand Total</t>
  </si>
  <si>
    <t>Sales by Region</t>
  </si>
  <si>
    <t>Region</t>
  </si>
  <si>
    <t>Total Sales</t>
  </si>
  <si>
    <t>South</t>
  </si>
  <si>
    <t>Midwest</t>
  </si>
  <si>
    <t>West</t>
  </si>
  <si>
    <t>Northeast</t>
  </si>
  <si>
    <t>Mid-Atlantic</t>
  </si>
  <si>
    <t>Central</t>
  </si>
  <si>
    <t>Pacific Northwest</t>
  </si>
  <si>
    <t>Pacific</t>
  </si>
  <si>
    <t>Sales performance by 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</si>
  <si>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</si>
  <si>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</si>
  <si>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</si>
  <si>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</si>
  <si>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</si>
  <si>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</si>
  <si>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</si>
  <si>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</si>
  <si>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</si>
  <si>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</si>
  <si>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</si>
  <si>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</si>
  <si>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</si>
  <si>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State</t>
  </si>
  <si>
    <t>State</t>
  </si>
  <si>
    <t>Sum of Sales</t>
  </si>
  <si>
    <t>Michigan</t>
  </si>
  <si>
    <t>Wisconsin</t>
  </si>
  <si>
    <t>North Dakota</t>
  </si>
  <si>
    <t>Illinois</t>
  </si>
  <si>
    <t>Georgia</t>
  </si>
  <si>
    <t>North Carolina</t>
  </si>
  <si>
    <t>Vermont</t>
  </si>
  <si>
    <t>Oregon</t>
  </si>
  <si>
    <t>Tennessee</t>
  </si>
  <si>
    <t>California</t>
  </si>
  <si>
    <t>Profitability by City</t>
  </si>
  <si>
    <t>City</t>
  </si>
  <si>
    <t>Total Profit</t>
  </si>
  <si>
    <t>Profit Margin</t>
  </si>
  <si>
    <t>Santa Clara</t>
  </si>
  <si>
    <t>Orlando</t>
  </si>
  <si>
    <t>Richardson</t>
  </si>
  <si>
    <t>San Diego</t>
  </si>
  <si>
    <t>Sacramento</t>
  </si>
  <si>
    <t>Fort Worth</t>
  </si>
  <si>
    <t>Cleveland</t>
  </si>
  <si>
    <t>Plano</t>
  </si>
  <si>
    <t>Ontario</t>
  </si>
  <si>
    <t>Conroe</t>
  </si>
  <si>
    <t>Midland</t>
  </si>
  <si>
    <t>Hagerstown</t>
  </si>
  <si>
    <t>Pharr</t>
  </si>
  <si>
    <t>Redwood City</t>
  </si>
  <si>
    <t>Great Falls</t>
  </si>
  <si>
    <t>El Cajon</t>
  </si>
  <si>
    <t>Highland Park</t>
  </si>
  <si>
    <t>Greensboro</t>
  </si>
  <si>
    <t>Bartlett</t>
  </si>
  <si>
    <t>Logan</t>
  </si>
  <si>
    <t>La Quinta</t>
  </si>
  <si>
    <t>East Point</t>
  </si>
  <si>
    <t>Greenville</t>
  </si>
  <si>
    <t>Mishawaka</t>
  </si>
  <si>
    <t>Eagan</t>
  </si>
  <si>
    <t>Hesperia</t>
  </si>
  <si>
    <t>Oklahoma City</t>
  </si>
  <si>
    <t>Memphis</t>
  </si>
  <si>
    <t>Edmonds</t>
  </si>
  <si>
    <t>Greeley</t>
  </si>
  <si>
    <t>Redding</t>
  </si>
  <si>
    <t>Deltona</t>
  </si>
  <si>
    <t>Antioch</t>
  </si>
  <si>
    <t>Westland</t>
  </si>
  <si>
    <t>Clinton</t>
  </si>
  <si>
    <t>New Castle</t>
  </si>
  <si>
    <t>Sterling Heights</t>
  </si>
  <si>
    <t>Harrisonburg</t>
  </si>
  <si>
    <t>Pensacola</t>
  </si>
  <si>
    <t>Superior</t>
  </si>
  <si>
    <t>Hot Springs</t>
  </si>
  <si>
    <t>Tigard</t>
  </si>
  <si>
    <t>Charlottesville</t>
  </si>
  <si>
    <t>Noblesville</t>
  </si>
  <si>
    <t>Manteca</t>
  </si>
  <si>
    <t>Visalia</t>
  </si>
  <si>
    <t>Bristol</t>
  </si>
  <si>
    <t>Shelton</t>
  </si>
  <si>
    <t>San Luis Obispo</t>
  </si>
  <si>
    <t>Tinley Park</t>
  </si>
  <si>
    <t>Citrus Heights</t>
  </si>
  <si>
    <t>Trenton</t>
  </si>
  <si>
    <t>Vineland</t>
  </si>
  <si>
    <t>Huntington Beach</t>
  </si>
  <si>
    <t>Lake Elsinore</t>
  </si>
  <si>
    <t>Mentor</t>
  </si>
  <si>
    <t>Tyler</t>
  </si>
  <si>
    <t>Saint Petersburg</t>
  </si>
  <si>
    <t>South Bend</t>
  </si>
  <si>
    <t>Montebello</t>
  </si>
  <si>
    <t>Sunnyvale</t>
  </si>
  <si>
    <t>Niagara Falls</t>
  </si>
  <si>
    <t>Orem</t>
  </si>
  <si>
    <t>Brentwood</t>
  </si>
  <si>
    <t>Fairfield</t>
  </si>
  <si>
    <t>Rock Hill</t>
  </si>
  <si>
    <t>Chattanooga</t>
  </si>
  <si>
    <t>Appleton</t>
  </si>
  <si>
    <t>Pasadena</t>
  </si>
  <si>
    <t>Rancho Cucamonga</t>
  </si>
  <si>
    <t>Warner Robins</t>
  </si>
  <si>
    <t>Holyoke</t>
  </si>
  <si>
    <t>Murray</t>
  </si>
  <si>
    <t>Moorhead</t>
  </si>
  <si>
    <t>Ormond Beach</t>
  </si>
  <si>
    <t>Boynton Beach</t>
  </si>
  <si>
    <t>Woonsocket</t>
  </si>
  <si>
    <t>Los Angeles</t>
  </si>
  <si>
    <t>Miami</t>
  </si>
  <si>
    <t>Pasco</t>
  </si>
  <si>
    <t>San Antonio</t>
  </si>
  <si>
    <t>Clovis</t>
  </si>
  <si>
    <t>Davis</t>
  </si>
  <si>
    <t>Auburn</t>
  </si>
  <si>
    <t>Boca Raton</t>
  </si>
  <si>
    <t>Bellevue</t>
  </si>
  <si>
    <t>Homestead</t>
  </si>
  <si>
    <t>Providence</t>
  </si>
  <si>
    <t>Renton</t>
  </si>
  <si>
    <t>Corpus Christi</t>
  </si>
  <si>
    <t>Costa Mesa</t>
  </si>
  <si>
    <t>Urbandale</t>
  </si>
  <si>
    <t>Aurora</t>
  </si>
  <si>
    <t>Nashua</t>
  </si>
  <si>
    <t>Paterson</t>
  </si>
  <si>
    <t>Cambridge</t>
  </si>
  <si>
    <t>Modesto</t>
  </si>
  <si>
    <t>Sparks</t>
  </si>
  <si>
    <t>Huntsville</t>
  </si>
  <si>
    <t>Florence</t>
  </si>
  <si>
    <t>Baltimore</t>
  </si>
  <si>
    <t>Detroit</t>
  </si>
  <si>
    <t>Oswego</t>
  </si>
  <si>
    <t>West Allis</t>
  </si>
  <si>
    <t>Evanston</t>
  </si>
  <si>
    <t>Bakersfield</t>
  </si>
  <si>
    <t>Johnson City</t>
  </si>
  <si>
    <t>Vancouver</t>
  </si>
  <si>
    <t>Eau Claire</t>
  </si>
  <si>
    <t>Medford</t>
  </si>
  <si>
    <t>Park Ridge</t>
  </si>
  <si>
    <t>Danbury</t>
  </si>
  <si>
    <t>Hamilton</t>
  </si>
  <si>
    <t>Lafayette</t>
  </si>
  <si>
    <t>San Mateo</t>
  </si>
  <si>
    <t>Salt Lake City</t>
  </si>
  <si>
    <t>Coachella</t>
  </si>
  <si>
    <t>The Colony</t>
  </si>
  <si>
    <t>Rogers</t>
  </si>
  <si>
    <t>Boise</t>
  </si>
  <si>
    <t>Jefferson City</t>
  </si>
  <si>
    <t>Bridgeton</t>
  </si>
  <si>
    <t>Torrance</t>
  </si>
  <si>
    <t>Reno</t>
  </si>
  <si>
    <t>Norman</t>
  </si>
  <si>
    <t>Lincoln Park</t>
  </si>
  <si>
    <t>Roswell</t>
  </si>
  <si>
    <t>Aberdeen</t>
  </si>
  <si>
    <t>Hickory</t>
  </si>
  <si>
    <t>Harlingen</t>
  </si>
  <si>
    <t>Cincinnati</t>
  </si>
  <si>
    <t>Fremont</t>
  </si>
  <si>
    <t>Oak Park</t>
  </si>
  <si>
    <t>Danville</t>
  </si>
  <si>
    <t>Rockville</t>
  </si>
  <si>
    <t>Oceanside</t>
  </si>
  <si>
    <t>Marysville</t>
  </si>
  <si>
    <t>Missouri City</t>
  </si>
  <si>
    <t>Morristown</t>
  </si>
  <si>
    <t>Atlanta</t>
  </si>
  <si>
    <t>San Bernardino</t>
  </si>
  <si>
    <t>Kenosha</t>
  </si>
  <si>
    <t>Troy</t>
  </si>
  <si>
    <t>Salem</t>
  </si>
  <si>
    <t>Lakeville</t>
  </si>
  <si>
    <t>Little Rock</t>
  </si>
  <si>
    <t>Saint Cloud</t>
  </si>
  <si>
    <t>Cedar Hill</t>
  </si>
  <si>
    <t>Palatine</t>
  </si>
  <si>
    <t>Concord</t>
  </si>
  <si>
    <t>Atlantic City</t>
  </si>
  <si>
    <t>Pembroke Pines</t>
  </si>
  <si>
    <t>Elmhurst</t>
  </si>
  <si>
    <t>Colorado Springs</t>
  </si>
  <si>
    <t>Sanford</t>
  </si>
  <si>
    <t>Tuscaloosa</t>
  </si>
  <si>
    <t>Olathe</t>
  </si>
  <si>
    <t>Gastonia</t>
  </si>
  <si>
    <t>Quincy</t>
  </si>
  <si>
    <t>Bozeman</t>
  </si>
  <si>
    <t>Margate</t>
  </si>
  <si>
    <t>Thornton</t>
  </si>
  <si>
    <t>Broomfield</t>
  </si>
  <si>
    <t>Lake Forest</t>
  </si>
  <si>
    <t>Lehi</t>
  </si>
  <si>
    <t>Anchorage</t>
  </si>
  <si>
    <t>Lake Charles</t>
  </si>
  <si>
    <t>Arlington</t>
  </si>
  <si>
    <t>Deer Park</t>
  </si>
  <si>
    <t>Monroe</t>
  </si>
  <si>
    <t>Pueblo</t>
  </si>
  <si>
    <t>Apopka</t>
  </si>
  <si>
    <t>Wilmington</t>
  </si>
  <si>
    <t>Lakeland</t>
  </si>
  <si>
    <t>Rapid City</t>
  </si>
  <si>
    <t>Coon Rapids</t>
  </si>
  <si>
    <t>Bryan</t>
  </si>
  <si>
    <t>Asheville</t>
  </si>
  <si>
    <t>Richmond</t>
  </si>
  <si>
    <t>Gaithersburg</t>
  </si>
  <si>
    <t>Conway</t>
  </si>
  <si>
    <t>Jacksonville</t>
  </si>
  <si>
    <t>Dublin</t>
  </si>
  <si>
    <t>Independence</t>
  </si>
  <si>
    <t>Kirkwood</t>
  </si>
  <si>
    <t>San Jose</t>
  </si>
  <si>
    <t>West Palm Beach</t>
  </si>
  <si>
    <t>Dubuque</t>
  </si>
  <si>
    <t>Newport News</t>
  </si>
  <si>
    <t>Rochester Hills</t>
  </si>
  <si>
    <t>West Jordan</t>
  </si>
  <si>
    <t>Laredo</t>
  </si>
  <si>
    <t>Murrieta</t>
  </si>
  <si>
    <t>Port Orange</t>
  </si>
  <si>
    <t>Bossier City</t>
  </si>
  <si>
    <t>Hackensack</t>
  </si>
  <si>
    <t>Lewiston</t>
  </si>
  <si>
    <t>Fort Collins</t>
  </si>
  <si>
    <t>Grove City</t>
  </si>
  <si>
    <t>Frisco</t>
  </si>
  <si>
    <t>Lakewood</t>
  </si>
  <si>
    <t>Roseville</t>
  </si>
  <si>
    <t>Tulsa</t>
  </si>
  <si>
    <t>Andover</t>
  </si>
  <si>
    <t>Sheboygan</t>
  </si>
  <si>
    <t>Newark</t>
  </si>
  <si>
    <t>Loveland</t>
  </si>
  <si>
    <t>Longview</t>
  </si>
  <si>
    <t>Missoula</t>
  </si>
  <si>
    <t>Waco</t>
  </si>
  <si>
    <t>Coral Springs</t>
  </si>
  <si>
    <t>Sioux Falls</t>
  </si>
  <si>
    <t>Nashville</t>
  </si>
  <si>
    <t>Hialeah</t>
  </si>
  <si>
    <t>Draper</t>
  </si>
  <si>
    <t>Fargo</t>
  </si>
  <si>
    <t>Meriden</t>
  </si>
  <si>
    <t>Overland Park</t>
  </si>
  <si>
    <t>Knoxville</t>
  </si>
  <si>
    <t>Mobile</t>
  </si>
  <si>
    <t>Bethlehem</t>
  </si>
  <si>
    <t>Warwick</t>
  </si>
  <si>
    <t>Iowa City</t>
  </si>
  <si>
    <t>Saint Peters</t>
  </si>
  <si>
    <t>Athens</t>
  </si>
  <si>
    <t>Summerville</t>
  </si>
  <si>
    <t>Baytown</t>
  </si>
  <si>
    <t>Wichita</t>
  </si>
  <si>
    <t>Clifton</t>
  </si>
  <si>
    <t>Des Plaines</t>
  </si>
  <si>
    <t>Wausau</t>
  </si>
  <si>
    <t>Milford</t>
  </si>
  <si>
    <t>Chandler</t>
  </si>
  <si>
    <t>Saint Charles</t>
  </si>
  <si>
    <t>Laurel</t>
  </si>
  <si>
    <t>Columbus</t>
  </si>
  <si>
    <t>Meridian</t>
  </si>
  <si>
    <t>Jonesboro</t>
  </si>
  <si>
    <t>Kent</t>
  </si>
  <si>
    <t>Frankfort</t>
  </si>
  <si>
    <t>Marlborough</t>
  </si>
  <si>
    <t>North Charleston</t>
  </si>
  <si>
    <t>Murfreesboro</t>
  </si>
  <si>
    <t>Bowling Green</t>
  </si>
  <si>
    <t>Hillsboro</t>
  </si>
  <si>
    <t>Tamarac</t>
  </si>
  <si>
    <t>San Clemente</t>
  </si>
  <si>
    <t>Rio Rancho</t>
  </si>
  <si>
    <t>Omaha</t>
  </si>
  <si>
    <t>Fayetteville</t>
  </si>
  <si>
    <t>Allentown</t>
  </si>
  <si>
    <t>Portland</t>
  </si>
  <si>
    <t>Taylor</t>
  </si>
  <si>
    <t>Rochester</t>
  </si>
  <si>
    <t>Port Arthur</t>
  </si>
  <si>
    <t>New Rochelle</t>
  </si>
  <si>
    <t>Goldsboro</t>
  </si>
  <si>
    <t>Seattle</t>
  </si>
  <si>
    <t>Manhattan</t>
  </si>
  <si>
    <t>Smyrna</t>
  </si>
  <si>
    <t>Des Moines</t>
  </si>
  <si>
    <t>La Porte</t>
  </si>
  <si>
    <t>Sierra Vista</t>
  </si>
  <si>
    <t>North Las Vegas</t>
  </si>
  <si>
    <t>Billings</t>
  </si>
  <si>
    <t>Cheyenne</t>
  </si>
  <si>
    <t>Coppell</t>
  </si>
  <si>
    <t>Lawton</t>
  </si>
  <si>
    <t>Pleasant Grove</t>
  </si>
  <si>
    <t>Normal</t>
  </si>
  <si>
    <t>Norfolk</t>
  </si>
  <si>
    <t>Lancaster</t>
  </si>
  <si>
    <t>Woodstock</t>
  </si>
  <si>
    <t>Tampa</t>
  </si>
  <si>
    <t>Jamestown</t>
  </si>
  <si>
    <t>Daytona Beach</t>
  </si>
  <si>
    <t>Chapel Hill</t>
  </si>
  <si>
    <t>Saginaw</t>
  </si>
  <si>
    <t>Muskogee</t>
  </si>
  <si>
    <t>Chula Vista</t>
  </si>
  <si>
    <t>Franklin</t>
  </si>
  <si>
    <t>Commerce City</t>
  </si>
  <si>
    <t>Laguna Niguel</t>
  </si>
  <si>
    <t>Peoria</t>
  </si>
  <si>
    <t>Glenview</t>
  </si>
  <si>
    <t>Virginia Beach</t>
  </si>
  <si>
    <t>Coral Gables</t>
  </si>
  <si>
    <t>Tempe</t>
  </si>
  <si>
    <t>Portage</t>
  </si>
  <si>
    <t>Farmington</t>
  </si>
  <si>
    <t>Burbank</t>
  </si>
  <si>
    <t>Dover</t>
  </si>
  <si>
    <t>Romeoville</t>
  </si>
  <si>
    <t>Skokie</t>
  </si>
  <si>
    <t>Kenner</t>
  </si>
  <si>
    <t>Round Rock</t>
  </si>
  <si>
    <t>Hoover</t>
  </si>
  <si>
    <t>Bolingbrook</t>
  </si>
  <si>
    <t>Greenwood</t>
  </si>
  <si>
    <t>Mcallen</t>
  </si>
  <si>
    <t>Covington</t>
  </si>
  <si>
    <t>Long Beach</t>
  </si>
  <si>
    <t>Indianapolis</t>
  </si>
  <si>
    <t>Las Cruces</t>
  </si>
  <si>
    <t>Santa Fe</t>
  </si>
  <si>
    <t>Macon</t>
  </si>
  <si>
    <t>Toledo</t>
  </si>
  <si>
    <t>Bellingham</t>
  </si>
  <si>
    <t>Wheeling</t>
  </si>
  <si>
    <t>Haltom City</t>
  </si>
  <si>
    <t>Springfield</t>
  </si>
  <si>
    <t>New Brunswick</t>
  </si>
  <si>
    <t>Pine Bluff</t>
  </si>
  <si>
    <t>Everett</t>
  </si>
  <si>
    <t>Waukesha</t>
  </si>
  <si>
    <t>Decatur</t>
  </si>
  <si>
    <t>Eugene</t>
  </si>
  <si>
    <t>Columbia</t>
  </si>
  <si>
    <t>Vacaville</t>
  </si>
  <si>
    <t>Apple Valley</t>
  </si>
  <si>
    <t>Plantation</t>
  </si>
  <si>
    <t>Chester</t>
  </si>
  <si>
    <t>Georgetown</t>
  </si>
  <si>
    <t>Redmond</t>
  </si>
  <si>
    <t>Denver</t>
  </si>
  <si>
    <t>Durham</t>
  </si>
  <si>
    <t>Pomona</t>
  </si>
  <si>
    <t>Orland Park</t>
  </si>
  <si>
    <t>Provo</t>
  </si>
  <si>
    <t>Lowell</t>
  </si>
  <si>
    <t>Champaign</t>
  </si>
  <si>
    <t>Hendersonville</t>
  </si>
  <si>
    <t>Manchester</t>
  </si>
  <si>
    <t>Waterbury</t>
  </si>
  <si>
    <t>Louisville</t>
  </si>
  <si>
    <t>Minneapolis</t>
  </si>
  <si>
    <t>Westminster</t>
  </si>
  <si>
    <t>La Crosse</t>
  </si>
  <si>
    <t>Anaheim</t>
  </si>
  <si>
    <t>Saint Paul</t>
  </si>
  <si>
    <t>Reading</t>
  </si>
  <si>
    <t>Layton</t>
  </si>
  <si>
    <t>Carlsbad</t>
  </si>
  <si>
    <t>Broken Arrow</t>
  </si>
  <si>
    <t>Fresno</t>
  </si>
  <si>
    <t>Hollywood</t>
  </si>
  <si>
    <t>Helena</t>
  </si>
  <si>
    <t>Moreno Valley</t>
  </si>
  <si>
    <t>Temecula</t>
  </si>
  <si>
    <t>Malden</t>
  </si>
  <si>
    <t>Grand Island</t>
  </si>
  <si>
    <t>Clarksville</t>
  </si>
  <si>
    <t>Plainfield</t>
  </si>
  <si>
    <t>Pearland</t>
  </si>
  <si>
    <t>Lawrence</t>
  </si>
  <si>
    <t>Bangor</t>
  </si>
  <si>
    <t>Glendale</t>
  </si>
  <si>
    <t>Kissimmee</t>
  </si>
  <si>
    <t>San Francisco</t>
  </si>
  <si>
    <t>Cedar Rapids</t>
  </si>
  <si>
    <t>Waterloo</t>
  </si>
  <si>
    <t>Norwich</t>
  </si>
  <si>
    <t>Raleigh</t>
  </si>
  <si>
    <t>Olympia</t>
  </si>
  <si>
    <t>Grand Rapids</t>
  </si>
  <si>
    <t>Philadelphia</t>
  </si>
  <si>
    <t>North Miami</t>
  </si>
  <si>
    <t>Elkhart</t>
  </si>
  <si>
    <t>San Angelo</t>
  </si>
  <si>
    <t>Belleville</t>
  </si>
  <si>
    <t>Burlington</t>
  </si>
  <si>
    <t>Pocatello</t>
  </si>
  <si>
    <t>Beaumont</t>
  </si>
  <si>
    <t>Henderson</t>
  </si>
  <si>
    <t>Arlington Heights</t>
  </si>
  <si>
    <t>Vallejo</t>
  </si>
  <si>
    <t>Cary</t>
  </si>
  <si>
    <t>Encinitas</t>
  </si>
  <si>
    <t>Bloomington</t>
  </si>
  <si>
    <t>Parker</t>
  </si>
  <si>
    <t>Texarkana</t>
  </si>
  <si>
    <t>Middletown</t>
  </si>
  <si>
    <t>Hampton</t>
  </si>
  <si>
    <t>Lindenhurst</t>
  </si>
  <si>
    <t>Springdale</t>
  </si>
  <si>
    <t>Lodi</t>
  </si>
  <si>
    <t>Twin Falls</t>
  </si>
  <si>
    <t>Lebanon</t>
  </si>
  <si>
    <t>Salinas</t>
  </si>
  <si>
    <t>Lorain</t>
  </si>
  <si>
    <t>Pico Rivera</t>
  </si>
  <si>
    <t>Owensboro</t>
  </si>
  <si>
    <t>Royal Oak</t>
  </si>
  <si>
    <t>Beverly</t>
  </si>
  <si>
    <t>Montgomery</t>
  </si>
  <si>
    <t>Maple Grove</t>
  </si>
  <si>
    <t>Gresham</t>
  </si>
  <si>
    <t>Marion</t>
  </si>
  <si>
    <t>Garland</t>
  </si>
  <si>
    <t>Charlotte</t>
  </si>
  <si>
    <t>Santa Ana</t>
  </si>
  <si>
    <t>Chico</t>
  </si>
  <si>
    <t>Freeport</t>
  </si>
  <si>
    <t>Buffalo Grove</t>
  </si>
  <si>
    <t>Lubbock</t>
  </si>
  <si>
    <t>Mount Vernon</t>
  </si>
  <si>
    <t>Green Bay</t>
  </si>
  <si>
    <t>Las Vegas</t>
  </si>
  <si>
    <t>Altoona</t>
  </si>
  <si>
    <t>Hempstead</t>
  </si>
  <si>
    <t>Medina</t>
  </si>
  <si>
    <t>Austin</t>
  </si>
  <si>
    <t>Abilene</t>
  </si>
  <si>
    <t>Pompano Beach</t>
  </si>
  <si>
    <t>Phoenix</t>
  </si>
  <si>
    <t>League City</t>
  </si>
  <si>
    <t>Carol Stream</t>
  </si>
  <si>
    <t>Orange</t>
  </si>
  <si>
    <t>Oakland</t>
  </si>
  <si>
    <t>San Marcos</t>
  </si>
  <si>
    <t>Morgan Hill</t>
  </si>
  <si>
    <t>Milwaukee</t>
  </si>
  <si>
    <t>Gilbert</t>
  </si>
  <si>
    <t>Ann Arbor</t>
  </si>
  <si>
    <t>Stockton</t>
  </si>
  <si>
    <t>Marietta</t>
  </si>
  <si>
    <t>Alexandria</t>
  </si>
  <si>
    <t>Albuquerque</t>
  </si>
  <si>
    <t>Holland</t>
  </si>
  <si>
    <t>Canton</t>
  </si>
  <si>
    <t>Buffalo</t>
  </si>
  <si>
    <t>Arvada</t>
  </si>
  <si>
    <t>New Bedford</t>
  </si>
  <si>
    <t>Mason</t>
  </si>
  <si>
    <t>El Paso</t>
  </si>
  <si>
    <t>Rockford</t>
  </si>
  <si>
    <t>Cranston</t>
  </si>
  <si>
    <t>Thousand Oaks</t>
  </si>
  <si>
    <t>Yuma</t>
  </si>
  <si>
    <t>Scottsdale</t>
  </si>
  <si>
    <t>Avondale</t>
  </si>
  <si>
    <t>Keller</t>
  </si>
  <si>
    <t>Bayonne</t>
  </si>
  <si>
    <t>Garden City</t>
  </si>
  <si>
    <t>Tallahassee</t>
  </si>
  <si>
    <t>Sandy Springs</t>
  </si>
  <si>
    <t>Madison</t>
  </si>
  <si>
    <t>La Mesa</t>
  </si>
  <si>
    <t>Wilson</t>
  </si>
  <si>
    <t>Edmond</t>
  </si>
  <si>
    <t>Mission Viejo</t>
  </si>
  <si>
    <t>Leominster</t>
  </si>
  <si>
    <t>Miramar</t>
  </si>
  <si>
    <t>Suffolk</t>
  </si>
  <si>
    <t>Longmont</t>
  </si>
  <si>
    <t>Port Saint Lucie</t>
  </si>
  <si>
    <t>Mount Pleasant</t>
  </si>
  <si>
    <t>Lansing</t>
  </si>
  <si>
    <t>Tucson</t>
  </si>
  <si>
    <t>Watertown</t>
  </si>
  <si>
    <t>Melbourne</t>
  </si>
  <si>
    <t>Dallas</t>
  </si>
  <si>
    <t>Revere</t>
  </si>
  <si>
    <t>Westfield</t>
  </si>
  <si>
    <t>Bedford</t>
  </si>
  <si>
    <t>Jackson</t>
  </si>
  <si>
    <t>Carrollton</t>
  </si>
  <si>
    <t>Saint Louis</t>
  </si>
  <si>
    <t>York</t>
  </si>
  <si>
    <t>Naperville</t>
  </si>
  <si>
    <t>Cuyahoga Falls</t>
  </si>
  <si>
    <t>Caldwell</t>
  </si>
  <si>
    <t>Cottage Grove</t>
  </si>
  <si>
    <t>Dearborn</t>
  </si>
  <si>
    <t>Santa Barbara</t>
  </si>
  <si>
    <t>Bullhead City</t>
  </si>
  <si>
    <t>Linden</t>
  </si>
  <si>
    <t>Irving</t>
  </si>
  <si>
    <t>Fort Lauderdale</t>
  </si>
  <si>
    <t>Texas City</t>
  </si>
  <si>
    <t>New Albany</t>
  </si>
  <si>
    <t>Englewood</t>
  </si>
  <si>
    <t>Chesapeake</t>
  </si>
  <si>
    <t>Chicago</t>
  </si>
  <si>
    <t>Gladstone</t>
  </si>
  <si>
    <t>Santa Maria</t>
  </si>
  <si>
    <t>Woodbury</t>
  </si>
  <si>
    <t>Mansfield</t>
  </si>
  <si>
    <t>East Orange</t>
  </si>
  <si>
    <t>Mesa</t>
  </si>
  <si>
    <t>Akron</t>
  </si>
  <si>
    <t>Whittier</t>
  </si>
  <si>
    <t>San Gabriel</t>
  </si>
  <si>
    <t>College Station</t>
  </si>
  <si>
    <t>Mesquite</t>
  </si>
  <si>
    <t>Littleton</t>
  </si>
  <si>
    <t>New York City</t>
  </si>
  <si>
    <t>Houston</t>
  </si>
  <si>
    <t>Spokane</t>
  </si>
  <si>
    <t>Delray Beach</t>
  </si>
  <si>
    <t>Dearborn Heights</t>
  </si>
  <si>
    <t>Odessa</t>
  </si>
  <si>
    <t>Riverside</t>
  </si>
  <si>
    <t>Camarillo</t>
  </si>
  <si>
    <t>Allen</t>
  </si>
  <si>
    <t>Grand Prairie</t>
  </si>
  <si>
    <t>Edinburg</t>
  </si>
  <si>
    <t>Escondido</t>
  </si>
  <si>
    <t>Utica</t>
  </si>
  <si>
    <t>Hattiesburg</t>
  </si>
  <si>
    <t>Jupiter</t>
  </si>
  <si>
    <t>Palm Coast</t>
  </si>
  <si>
    <t>Grapevine</t>
  </si>
  <si>
    <t>Sales v. Profit by Product Category</t>
  </si>
  <si>
    <t>Category</t>
  </si>
  <si>
    <t>Furniture</t>
  </si>
  <si>
    <t>Office Supplies</t>
  </si>
  <si>
    <t>Technology</t>
  </si>
  <si>
    <t>Shipping Cost by Each Delivery methods across Regions</t>
  </si>
  <si>
    <t>Delivery Truck</t>
  </si>
  <si>
    <t>Express Air</t>
  </si>
  <si>
    <t>Regular Air</t>
  </si>
  <si>
    <t>How efficient was the marketing channels by each customer segment</t>
  </si>
  <si>
    <t>Marketing Channel</t>
  </si>
  <si>
    <t>Consumer</t>
  </si>
  <si>
    <t>Corporate</t>
  </si>
  <si>
    <t>Home Office</t>
  </si>
  <si>
    <t>Small Business</t>
  </si>
  <si>
    <t>Email Marketing</t>
  </si>
  <si>
    <t>Direct Sales</t>
  </si>
  <si>
    <t>Tradeshows and Events</t>
  </si>
  <si>
    <t>Google Adwords</t>
  </si>
  <si>
    <t>Direct Mail</t>
  </si>
  <si>
    <t>Social Media</t>
  </si>
  <si>
    <t>SEO</t>
  </si>
  <si>
    <t>Total profit by Marketing Channels</t>
  </si>
  <si>
    <t>Sales performance by each marketing channel filtered by regions</t>
  </si>
  <si>
    <t xml:space="preserve"> Sales Target</t>
  </si>
  <si>
    <t>Sales performance among Product categories, Filtered by Regions</t>
  </si>
  <si>
    <t>Product by each product category filtered by Regions</t>
  </si>
  <si>
    <t>Caregory</t>
  </si>
  <si>
    <t xml:space="preserve">  </t>
  </si>
  <si>
    <t xml:space="preserve"> </t>
  </si>
  <si>
    <t>Top 10 by Profit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</si>
</sst>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164" formatCode="[$$-C09]#,##0.00"/>
    <numFmt numFmtId="165" formatCode="[$$-2809]#,##0.00"/>
    <numFmt numFmtId="166" formatCode="[$$-45C]#,##0.00"/>
    <numFmt numFmtId="167" formatCode="0.00%;\-0.00%;0.00%"/>
    <numFmt numFmtId="168" formatCode="[$$-1004]#,##0.00"/>
    <numFmt numFmtId="169" formatCode="&quot;$&quot;#,##0.00"/>
  </numFmts>
  <fonts count="14" x14ac:knownFonts="1">
    <font>
      <sz val="12"/>
      <color theme="1"/>
      <name val="Tahoma"/>
      <scheme val="minor"/>
    </font>
    <font>
      <sz val="12"/>
      <color theme="1"/>
      <name val="Calibri"/>
    </font>
    <font>
      <sz val="12"/>
      <color theme="0"/>
      <name val="Tahoma"/>
    </font>
    <font>
      <b/>
      <sz val="12"/>
      <color theme="1"/>
      <name val="Calibri"/>
    </font>
    <font>
      <sz val="12"/>
      <color theme="1"/>
      <name val="Tahoma"/>
      <scheme val="minor"/>
    </font>
    <font>
      <sz val="12"/>
      <color theme="1"/>
      <name val="Tahoma"/>
      <family val="2"/>
    </font>
    <font>
      <sz val="12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12"/>
      <color theme="1"/>
      <name val="Tahoma"/>
      <family val="2"/>
      <scheme val="major"/>
    </font>
    <font>
      <b/>
      <sz val="12"/>
      <color theme="1"/>
      <name val="Tahoma"/>
      <family val="2"/>
      <scheme val="major"/>
    </font>
    <font>
      <b/>
      <sz val="12"/>
      <color rgb="FFE7E6E6"/>
      <name val="Tahoma"/>
      <family val="2"/>
      <scheme val="major"/>
    </font>
    <font>
      <sz val="12"/>
      <color rgb="FFE7E6E6"/>
      <name val="Tahoma"/>
      <family val="2"/>
      <scheme val="major"/>
    </font>
    <font>
      <sz val="12"/>
      <color theme="0"/>
      <name val="Tahoma"/>
      <family val="2"/>
      <scheme val="major"/>
    </font>
    <font>
      <b/>
      <sz val="16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DD9D4"/>
        <bgColor rgb="FFCDD9D4"/>
      </patternFill>
    </fill>
    <fill>
      <patternFill patternType="solid">
        <fgColor rgb="FF333F4F"/>
        <bgColor rgb="FF333F4F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</fills>
  <borders count="1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CDD9D4"/>
      </right>
      <top style="double">
        <color rgb="FF284E3F"/>
      </top>
      <bottom style="thin">
        <color rgb="FF284E3F"/>
      </bottom>
      <diagonal/>
    </border>
    <border>
      <left style="thin">
        <color rgb="FFCDD9D4"/>
      </left>
      <right style="thin">
        <color rgb="FF284E3F"/>
      </right>
      <top style="double">
        <color rgb="FF284E3F"/>
      </top>
      <bottom style="thin">
        <color rgb="FF284E3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9" fontId="2" fillId="0" borderId="0" xfId="0" applyNumberFormat="1" applyFont="1"/>
    <xf numFmtId="0" fontId="3" fillId="0" borderId="9" xfId="0" applyFont="1" applyBorder="1" applyAlignment="1">
      <alignment horizontal="left"/>
    </xf>
    <xf numFmtId="164" fontId="3" fillId="0" borderId="9" xfId="0" applyNumberFormat="1" applyFont="1" applyBorder="1"/>
    <xf numFmtId="169" fontId="0" fillId="0" borderId="0" xfId="0" applyNumberFormat="1" applyFont="1" applyAlignment="1"/>
    <xf numFmtId="0" fontId="7" fillId="0" borderId="0" xfId="0" applyFont="1" applyAlignme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44" fontId="5" fillId="0" borderId="4" xfId="1" applyFont="1" applyBorder="1" applyAlignment="1">
      <alignment vertical="center"/>
    </xf>
    <xf numFmtId="44" fontId="5" fillId="0" borderId="6" xfId="1" applyFont="1" applyBorder="1" applyAlignment="1">
      <alignment vertical="center"/>
    </xf>
    <xf numFmtId="44" fontId="5" fillId="2" borderId="8" xfId="1" applyFont="1" applyFill="1" applyBorder="1" applyAlignment="1">
      <alignment vertical="center"/>
    </xf>
    <xf numFmtId="0" fontId="6" fillId="0" borderId="0" xfId="0" applyFont="1"/>
    <xf numFmtId="44" fontId="0" fillId="0" borderId="0" xfId="1" applyFont="1" applyAlignment="1"/>
    <xf numFmtId="44" fontId="7" fillId="0" borderId="0" xfId="1" applyFont="1" applyAlignment="1"/>
    <xf numFmtId="0" fontId="8" fillId="0" borderId="0" xfId="0" applyFont="1"/>
    <xf numFmtId="164" fontId="8" fillId="0" borderId="0" xfId="0" applyNumberFormat="1" applyFont="1"/>
    <xf numFmtId="0" fontId="8" fillId="0" borderId="0" xfId="0" applyFont="1" applyAlignment="1"/>
    <xf numFmtId="164" fontId="11" fillId="3" borderId="9" xfId="0" applyNumberFormat="1" applyFont="1" applyFill="1" applyBorder="1"/>
    <xf numFmtId="0" fontId="11" fillId="3" borderId="9" xfId="0" applyFont="1" applyFill="1" applyBorder="1"/>
    <xf numFmtId="0" fontId="9" fillId="0" borderId="9" xfId="0" applyFont="1" applyBorder="1" applyAlignment="1">
      <alignment horizontal="left"/>
    </xf>
    <xf numFmtId="164" fontId="8" fillId="0" borderId="9" xfId="0" applyNumberFormat="1" applyFont="1" applyBorder="1" applyAlignment="1">
      <alignment horizontal="center"/>
    </xf>
    <xf numFmtId="164" fontId="8" fillId="0" borderId="9" xfId="0" applyNumberFormat="1" applyFont="1" applyBorder="1"/>
    <xf numFmtId="167" fontId="8" fillId="0" borderId="9" xfId="0" applyNumberFormat="1" applyFont="1" applyBorder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0" fillId="3" borderId="11" xfId="0" applyFont="1" applyFill="1" applyBorder="1"/>
    <xf numFmtId="0" fontId="9" fillId="0" borderId="11" xfId="0" applyFont="1" applyBorder="1" applyAlignment="1">
      <alignment horizontal="left"/>
    </xf>
    <xf numFmtId="0" fontId="7" fillId="0" borderId="0" xfId="0" applyFont="1" applyAlignment="1">
      <alignment vertical="center"/>
    </xf>
    <xf numFmtId="0" fontId="6" fillId="0" borderId="0" xfId="0" applyFont="1" applyAlignment="1"/>
    <xf numFmtId="166" fontId="6" fillId="0" borderId="9" xfId="0" applyNumberFormat="1" applyFont="1" applyBorder="1"/>
    <xf numFmtId="0" fontId="7" fillId="0" borderId="11" xfId="0" applyFont="1" applyBorder="1" applyAlignment="1">
      <alignment horizontal="left"/>
    </xf>
    <xf numFmtId="166" fontId="6" fillId="0" borderId="12" xfId="0" applyNumberFormat="1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 applyAlignment="1">
      <alignment horizontal="left"/>
    </xf>
    <xf numFmtId="166" fontId="6" fillId="0" borderId="17" xfId="0" applyNumberFormat="1" applyFont="1" applyBorder="1"/>
    <xf numFmtId="0" fontId="6" fillId="0" borderId="18" xfId="0" applyFont="1" applyBorder="1"/>
    <xf numFmtId="0" fontId="8" fillId="0" borderId="14" xfId="0" applyFont="1" applyBorder="1" applyAlignment="1">
      <alignment wrapText="1"/>
    </xf>
    <xf numFmtId="168" fontId="8" fillId="0" borderId="9" xfId="0" applyNumberFormat="1" applyFont="1" applyBorder="1"/>
    <xf numFmtId="0" fontId="8" fillId="0" borderId="0" xfId="0" applyFont="1" applyAlignment="1">
      <alignment horizontal="left"/>
    </xf>
    <xf numFmtId="168" fontId="8" fillId="0" borderId="0" xfId="0" applyNumberFormat="1" applyFont="1"/>
    <xf numFmtId="0" fontId="9" fillId="0" borderId="9" xfId="0" applyFont="1" applyBorder="1"/>
    <xf numFmtId="164" fontId="9" fillId="0" borderId="9" xfId="0" applyNumberFormat="1" applyFont="1" applyBorder="1"/>
    <xf numFmtId="164" fontId="8" fillId="4" borderId="9" xfId="0" applyNumberFormat="1" applyFont="1" applyFill="1" applyBorder="1"/>
    <xf numFmtId="164" fontId="8" fillId="5" borderId="9" xfId="0" applyNumberFormat="1" applyFont="1" applyFill="1" applyBorder="1"/>
    <xf numFmtId="0" fontId="0" fillId="0" borderId="0" xfId="0" applyFont="1" applyAlignment="1">
      <alignment horizontal="center"/>
    </xf>
    <xf numFmtId="9" fontId="0" fillId="0" borderId="0" xfId="2" applyFont="1" applyAlignment="1">
      <alignment horizont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164" fontId="6" fillId="0" borderId="10" xfId="0" applyNumberFormat="1" applyFont="1" applyBorder="1"/>
    <xf numFmtId="164" fontId="6" fillId="0" borderId="0" xfId="0" applyNumberFormat="1" applyFont="1"/>
    <xf numFmtId="0" fontId="6" fillId="0" borderId="11" xfId="0" applyFont="1" applyBorder="1" applyAlignment="1">
      <alignment horizontal="left"/>
    </xf>
    <xf numFmtId="169" fontId="6" fillId="0" borderId="12" xfId="0" applyNumberFormat="1" applyFont="1" applyBorder="1"/>
    <xf numFmtId="0" fontId="6" fillId="0" borderId="13" xfId="0" applyFont="1" applyBorder="1"/>
    <xf numFmtId="0" fontId="6" fillId="0" borderId="14" xfId="0" applyFont="1" applyBorder="1" applyAlignment="1"/>
    <xf numFmtId="0" fontId="6" fillId="0" borderId="15" xfId="0" applyFont="1" applyBorder="1" applyAlignment="1"/>
    <xf numFmtId="0" fontId="1" fillId="0" borderId="16" xfId="0" applyFont="1" applyBorder="1" applyAlignment="1">
      <alignment horizontal="left"/>
    </xf>
    <xf numFmtId="166" fontId="1" fillId="0" borderId="17" xfId="0" applyNumberFormat="1" applyFont="1" applyBorder="1"/>
    <xf numFmtId="0" fontId="1" fillId="0" borderId="18" xfId="0" applyFont="1" applyBorder="1"/>
    <xf numFmtId="0" fontId="7" fillId="0" borderId="0" xfId="0" applyFont="1" applyAlignment="1">
      <alignment horizontal="left"/>
    </xf>
    <xf numFmtId="165" fontId="6" fillId="0" borderId="0" xfId="0" applyNumberFormat="1" applyFont="1"/>
    <xf numFmtId="0" fontId="13" fillId="0" borderId="0" xfId="0" applyFont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65" formatCode="[$$-2809]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69" formatCode="&quot;$&quot;#,##0.0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66" formatCode="[$$-45C]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64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64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64" formatCode="[$$-C09]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68" formatCode="[$$-1004]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68" formatCode="[$$-1004]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68" formatCode="[$$-1004]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68" formatCode="[$$-1004]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</dxf>
    <dxf>
      <border outline="0"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66" formatCode="[$$-45C]#,##0.00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66" formatCode="[$$-45C]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67" formatCode="0.00%;\-0.00%;0.00%"/>
      <alignment horizontal="center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64" formatCode="[$$-C09]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64" formatCode="[$$-C09]#,##0.00"/>
      <alignment horizontal="center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</border>
    </dxf>
    <dxf>
      <font>
        <b val="0"/>
        <family val="2"/>
      </font>
    </dxf>
    <dxf>
      <font>
        <b val="0"/>
        <family val="2"/>
      </font>
    </dxf>
    <dxf>
      <font>
        <b val="0"/>
        <family val="2"/>
      </font>
    </dxf>
    <dxf>
      <font>
        <b val="0"/>
        <family val="2"/>
      </font>
    </dxf>
    <dxf>
      <font>
        <b val="0"/>
        <family val="2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Sales by Qtr-style" pivot="0" count="4" xr9:uid="{00000000-0011-0000-FFFF-FFFF00000000}">
      <tableStyleElement type="headerRow" dxfId="55"/>
      <tableStyleElement type="totalRow" dxfId="54"/>
      <tableStyleElement type="firstRowStripe" dxfId="53"/>
      <tableStyleElement type="secondRowStripe" dxfId="52"/>
    </tableStyle>
    <tableStyle name="Sales by Region-style" pivot="0" count="4" xr9:uid="{00000000-0011-0000-FFFF-FFFF01000000}">
      <tableStyleElement type="headerRow" dxfId="51"/>
      <tableStyleElement type="totalRow" dxfId="50"/>
      <tableStyleElement type="firstRowStripe" dxfId="49"/>
      <tableStyleElement type="secondRowStripe" dxfId="48"/>
    </tableStyle>
    <tableStyle name="Sales by Month-style" pivot="0" count="3" xr9:uid="{00000000-0011-0000-FFFF-FFFF02000000}">
      <tableStyleElement type="headerRow" dxfId="47"/>
      <tableStyleElement type="firstRowStripe" dxfId="46"/>
      <tableStyleElement type="secondRowStripe" dxfId="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performance by Quarter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Sales Target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cat>
            <c:strRef>
              <c:f>'Sales by Qtr'!$B$3:$B$7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'Sales by Qtr'!$C$3:$C$7</c:f>
              <c:numCache>
                <c:formatCode>"$"#,##0.00</c:formatCode>
                <c:ptCount val="4"/>
                <c:pt idx="0">
                  <c:v>3760457.9896999998</c:v>
                </c:pt>
                <c:pt idx="1">
                  <c:v>3196487.6625000001</c:v>
                </c:pt>
                <c:pt idx="2">
                  <c:v>3581312.8577000001</c:v>
                </c:pt>
                <c:pt idx="3">
                  <c:v>4091790.8250000002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A9B-47DD-9864-DF55CAE2C289}"/>
            </c:ext>
          </c:extLst>
        </c:ser>
        <c:ser>
          <c:idx val="1"/>
          <c:order val="1"/>
          <c:tx>
            <c:v> Sales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1"/>
          <c:trendline>
            <c:name>Linear ( Sales)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'Sales by Qtr'!$B$3:$B$7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'Sales by Qtr'!$D$3:$D$7</c:f>
              <c:numCache>
                <c:formatCode>"$"#,##0.00</c:formatCode>
                <c:ptCount val="4"/>
                <c:pt idx="0">
                  <c:v>3837693.9975000001</c:v>
                </c:pt>
                <c:pt idx="1">
                  <c:v>3331327.9245000002</c:v>
                </c:pt>
                <c:pt idx="2">
                  <c:v>3527374.4904999998</c:v>
                </c:pt>
                <c:pt idx="3">
                  <c:v>3962665.7829999998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AA9B-47DD-9864-DF55CAE2C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7153370"/>
        <c:axId val="420915832"/>
      </c:barChart>
      <c:catAx>
        <c:axId val="28715337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15832"/>
        <c:crosses val="autoZero"/>
        <c:auto val="1"/>
        <c:lblAlgn val="ctr"/>
        <c:lblOffset val="100"/>
        <c:noMultiLvlLbl val="1"/>
      </c:catAx>
      <c:valAx>
        <c:axId val="42091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1533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vs.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'Sales by Region'!$C$2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472C4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79-486D-BC44-35A71EB67716}"/>
              </c:ext>
            </c:extLst>
          </c:dPt>
          <c:dPt>
            <c:idx val="1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79-486D-BC44-35A71EB67716}"/>
              </c:ext>
            </c:extLst>
          </c:dPt>
          <c:dPt>
            <c:idx val="2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79-486D-BC44-35A71EB67716}"/>
              </c:ext>
            </c:extLst>
          </c:dPt>
          <c:dPt>
            <c:idx val="3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79-486D-BC44-35A71EB67716}"/>
              </c:ext>
            </c:extLst>
          </c:dPt>
          <c:dPt>
            <c:idx val="4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79-486D-BC44-35A71EB67716}"/>
              </c:ext>
            </c:extLst>
          </c:dPt>
          <c:dPt>
            <c:idx val="5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379-486D-BC44-35A71EB67716}"/>
              </c:ext>
            </c:extLst>
          </c:dPt>
          <c:dPt>
            <c:idx val="6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379-486D-BC44-35A71EB67716}"/>
              </c:ext>
            </c:extLst>
          </c:dPt>
          <c:dPt>
            <c:idx val="7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379-486D-BC44-35A71EB67716}"/>
              </c:ext>
            </c:extLst>
          </c:dPt>
          <c:cat>
            <c:strRef>
              <c:f>'Sales by Region'!$B$3:$B$10</c:f>
              <c:strCache>
                <c:ptCount val="8"/>
                <c:pt idx="0">
                  <c:v>South</c:v>
                </c:pt>
                <c:pt idx="1">
                  <c:v>Midwest</c:v>
                </c:pt>
                <c:pt idx="2">
                  <c:v>West</c:v>
                </c:pt>
                <c:pt idx="3">
                  <c:v>Northeast</c:v>
                </c:pt>
                <c:pt idx="4">
                  <c:v>Mid-Atlantic</c:v>
                </c:pt>
                <c:pt idx="5">
                  <c:v>Central</c:v>
                </c:pt>
                <c:pt idx="6">
                  <c:v>Pacific Northwest</c:v>
                </c:pt>
                <c:pt idx="7">
                  <c:v>Pacific</c:v>
                </c:pt>
              </c:strCache>
            </c:strRef>
          </c:cat>
          <c:val>
            <c:numRef>
              <c:f>'Sales by Region'!$C$3:$C$10</c:f>
              <c:numCache>
                <c:formatCode>_("$"* #,##0.00_);_("$"* \(#,##0.00\);_("$"* "-"??_);_(@_)</c:formatCode>
                <c:ptCount val="8"/>
                <c:pt idx="0">
                  <c:v>3380170.2315000002</c:v>
                </c:pt>
                <c:pt idx="1">
                  <c:v>2981803.8484999998</c:v>
                </c:pt>
                <c:pt idx="2">
                  <c:v>2577586.16</c:v>
                </c:pt>
                <c:pt idx="3">
                  <c:v>2203313.6244999999</c:v>
                </c:pt>
                <c:pt idx="4">
                  <c:v>1426835.1370000001</c:v>
                </c:pt>
                <c:pt idx="5">
                  <c:v>1153849.872</c:v>
                </c:pt>
                <c:pt idx="6">
                  <c:v>616311.52949999995</c:v>
                </c:pt>
                <c:pt idx="7">
                  <c:v>319191.79249999998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5EA-4967-BADC-36D76819A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981465"/>
        <c:axId val="1864963033"/>
      </c:barChart>
      <c:catAx>
        <c:axId val="19929814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963033"/>
        <c:crosses val="autoZero"/>
        <c:auto val="1"/>
        <c:lblAlgn val="ctr"/>
        <c:lblOffset val="100"/>
        <c:noMultiLvlLbl val="1"/>
      </c:catAx>
      <c:valAx>
        <c:axId val="18649630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98146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performance by months.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'Sales by Month'!$C$2</c:f>
              <c:strCache>
                <c:ptCount val="1"/>
                <c:pt idx="0">
                  <c:v>Sales Target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cat>
            <c:strRef>
              <c:f>'Sales by Month'!$B$3:$B$19</c:f>
              <c:strCache>
                <c:ptCount val="16"/>
                <c:pt idx="0">
                  <c:v>Qtr1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Qtr2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Qtr3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Qtr4</c:v>
                </c:pt>
                <c:pt idx="13">
                  <c:v>Oct</c:v>
                </c:pt>
                <c:pt idx="14">
                  <c:v>Nov</c:v>
                </c:pt>
                <c:pt idx="15">
                  <c:v>Dec</c:v>
                </c:pt>
              </c:strCache>
            </c:strRef>
          </c:cat>
          <c:val>
            <c:numRef>
              <c:f>'Sales by Month'!$C$3:$C$19</c:f>
              <c:numCache>
                <c:formatCode>_("$"* #,##0.00_);_("$"* \(#,##0.00\);_("$"* "-"??_);_(@_)</c:formatCode>
                <c:ptCount val="16"/>
                <c:pt idx="1">
                  <c:v>1428240.8293999999</c:v>
                </c:pt>
                <c:pt idx="2">
                  <c:v>1015890.6676</c:v>
                </c:pt>
                <c:pt idx="3">
                  <c:v>1316326.4927000001</c:v>
                </c:pt>
                <c:pt idx="5">
                  <c:v>1047494.4716</c:v>
                </c:pt>
                <c:pt idx="6">
                  <c:v>1118403.6033000001</c:v>
                </c:pt>
                <c:pt idx="7">
                  <c:v>1030589.5876</c:v>
                </c:pt>
                <c:pt idx="9">
                  <c:v>1230049.2079</c:v>
                </c:pt>
                <c:pt idx="10">
                  <c:v>1061142.1791999999</c:v>
                </c:pt>
                <c:pt idx="11">
                  <c:v>1290121.4705999999</c:v>
                </c:pt>
                <c:pt idx="13">
                  <c:v>1320866.0316999999</c:v>
                </c:pt>
                <c:pt idx="14">
                  <c:v>1265764.2239000001</c:v>
                </c:pt>
                <c:pt idx="15">
                  <c:v>1505160.5693999999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4C3-4D51-8643-5CCE663A5932}"/>
            </c:ext>
          </c:extLst>
        </c:ser>
        <c:ser>
          <c:idx val="1"/>
          <c:order val="1"/>
          <c:tx>
            <c:strRef>
              <c:f>'Sales by Month'!$D$2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1"/>
          <c:cat>
            <c:strRef>
              <c:f>'Sales by Month'!$B$3:$B$19</c:f>
              <c:strCache>
                <c:ptCount val="16"/>
                <c:pt idx="0">
                  <c:v>Qtr1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Qtr2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Qtr3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Qtr4</c:v>
                </c:pt>
                <c:pt idx="13">
                  <c:v>Oct</c:v>
                </c:pt>
                <c:pt idx="14">
                  <c:v>Nov</c:v>
                </c:pt>
                <c:pt idx="15">
                  <c:v>Dec</c:v>
                </c:pt>
              </c:strCache>
            </c:strRef>
          </c:cat>
          <c:val>
            <c:numRef>
              <c:f>'Sales by Month'!$D$3:$D$19</c:f>
              <c:numCache>
                <c:formatCode>_("$"* #,##0.00_);_("$"* \(#,##0.00\);_("$"* "-"??_);_(@_)</c:formatCode>
                <c:ptCount val="16"/>
                <c:pt idx="1">
                  <c:v>1390859.1740000001</c:v>
                </c:pt>
                <c:pt idx="2">
                  <c:v>1163270.335</c:v>
                </c:pt>
                <c:pt idx="3">
                  <c:v>1283564.4885</c:v>
                </c:pt>
                <c:pt idx="5">
                  <c:v>1147771.334</c:v>
                </c:pt>
                <c:pt idx="6">
                  <c:v>1168209.1555000001</c:v>
                </c:pt>
                <c:pt idx="7">
                  <c:v>1015347.4350000001</c:v>
                </c:pt>
                <c:pt idx="9">
                  <c:v>1114256.7524999999</c:v>
                </c:pt>
                <c:pt idx="10">
                  <c:v>1109020.5319999999</c:v>
                </c:pt>
                <c:pt idx="11">
                  <c:v>1304097.206</c:v>
                </c:pt>
                <c:pt idx="13">
                  <c:v>1367172.986</c:v>
                </c:pt>
                <c:pt idx="14">
                  <c:v>1153443.3495</c:v>
                </c:pt>
                <c:pt idx="15">
                  <c:v>1442049.4475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F4C3-4D51-8643-5CCE663A5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4775248"/>
        <c:axId val="1835672041"/>
      </c:barChart>
      <c:catAx>
        <c:axId val="162477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672041"/>
        <c:crosses val="autoZero"/>
        <c:auto val="1"/>
        <c:lblAlgn val="ctr"/>
        <c:lblOffset val="100"/>
        <c:noMultiLvlLbl val="1"/>
      </c:catAx>
      <c:valAx>
        <c:axId val="1835672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77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'Sales by State'!$C$2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4472C4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A7-4C37-8BC9-EE02CF789F7F}"/>
              </c:ext>
            </c:extLst>
          </c:dPt>
          <c:dPt>
            <c:idx val="1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A7-4C37-8BC9-EE02CF789F7F}"/>
              </c:ext>
            </c:extLst>
          </c:dPt>
          <c:dPt>
            <c:idx val="2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A7-4C37-8BC9-EE02CF789F7F}"/>
              </c:ext>
            </c:extLst>
          </c:dPt>
          <c:dPt>
            <c:idx val="3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A7-4C37-8BC9-EE02CF789F7F}"/>
              </c:ext>
            </c:extLst>
          </c:dPt>
          <c:dPt>
            <c:idx val="4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0A7-4C37-8BC9-EE02CF789F7F}"/>
              </c:ext>
            </c:extLst>
          </c:dPt>
          <c:dPt>
            <c:idx val="5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0A7-4C37-8BC9-EE02CF789F7F}"/>
              </c:ext>
            </c:extLst>
          </c:dPt>
          <c:dPt>
            <c:idx val="6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0A7-4C37-8BC9-EE02CF789F7F}"/>
              </c:ext>
            </c:extLst>
          </c:dPt>
          <c:dPt>
            <c:idx val="7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0A7-4C37-8BC9-EE02CF789F7F}"/>
              </c:ext>
            </c:extLst>
          </c:dPt>
          <c:dPt>
            <c:idx val="8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0A7-4C37-8BC9-EE02CF789F7F}"/>
              </c:ext>
            </c:extLst>
          </c:dPt>
          <c:dPt>
            <c:idx val="9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0A7-4C37-8BC9-EE02CF789F7F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'Sales by State'!$B$3:$B$13</c15:sqref>
                  </c15:fullRef>
                </c:ext>
              </c:extLst>
              <c:f>'Sales by State'!$B$3:$B$12</c:f>
              <c:strCache>
                <c:ptCount val="10"/>
                <c:pt idx="0">
                  <c:v>Michigan</c:v>
                </c:pt>
                <c:pt idx="1">
                  <c:v>Wisconsin</c:v>
                </c:pt>
                <c:pt idx="2">
                  <c:v>North Dakota</c:v>
                </c:pt>
                <c:pt idx="3">
                  <c:v>Illinois</c:v>
                </c:pt>
                <c:pt idx="4">
                  <c:v>Georgia</c:v>
                </c:pt>
                <c:pt idx="5">
                  <c:v>North Carolina</c:v>
                </c:pt>
                <c:pt idx="6">
                  <c:v>Vermont</c:v>
                </c:pt>
                <c:pt idx="7">
                  <c:v>Oregon</c:v>
                </c:pt>
                <c:pt idx="8">
                  <c:v>Tennessee</c:v>
                </c:pt>
                <c:pt idx="9">
                  <c:v>California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by State'!$C$3:$C$13</c15:sqref>
                  </c15:fullRef>
                </c:ext>
              </c:extLst>
              <c:f>'Sales by State'!$C$3:$C$12</c:f>
              <c:numCache>
                <c:formatCode>_("$"* #,##0.00_);_("$"* \(#,##0.00\);_("$"* "-"??_);_(@_)</c:formatCode>
                <c:ptCount val="10"/>
                <c:pt idx="0">
                  <c:v>407396.38099999999</c:v>
                </c:pt>
                <c:pt idx="1">
                  <c:v>393305.73550000001</c:v>
                </c:pt>
                <c:pt idx="2">
                  <c:v>385506.6385</c:v>
                </c:pt>
                <c:pt idx="3">
                  <c:v>379056.77549999999</c:v>
                </c:pt>
                <c:pt idx="4">
                  <c:v>373175.2525</c:v>
                </c:pt>
                <c:pt idx="5">
                  <c:v>363481.56449999998</c:v>
                </c:pt>
                <c:pt idx="6">
                  <c:v>354152.54450000002</c:v>
                </c:pt>
                <c:pt idx="7">
                  <c:v>353454.11249999999</c:v>
                </c:pt>
                <c:pt idx="8">
                  <c:v>337372.54149999999</c:v>
                </c:pt>
                <c:pt idx="9">
                  <c:v>334175.98300000001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5="http://schemas.microsoft.com/office/drawing/2012/chart" uri="{02D57815-91ED-43cb-92C2-25804820EDAC}">
              <c15:categoryFilterExceptions>
                <c15:categoryFilterException>
                  <c15:sqref>'Sales by State'!$C$13</c15:sqref>
                  <c15:spPr xmlns:c15="http://schemas.microsoft.com/office/drawing/2012/chart">
                    <a:solidFill>
                      <a:srgbClr val="4472C4"/>
                    </a:solidFill>
                    <a:ln>
                      <a:noFill/>
                    </a:ln>
                    <a:effectLst/>
                  </c15:spPr>
                  <c15:invertIfNegative val="1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A419-42B3-AC86-FF6156465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1078085"/>
        <c:axId val="46489203"/>
      </c:barChart>
      <c:catAx>
        <c:axId val="208107808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9203"/>
        <c:crosses val="autoZero"/>
        <c:auto val="1"/>
        <c:lblAlgn val="ctr"/>
        <c:lblOffset val="100"/>
        <c:noMultiLvlLbl val="1"/>
      </c:catAx>
      <c:valAx>
        <c:axId val="464892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0780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'Profit by City'!$E$3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'Profit by City'!$B$4:$B$289</c:f>
              <c:strCache>
                <c:ptCount val="10"/>
                <c:pt idx="0">
                  <c:v>Lafayette</c:v>
                </c:pt>
                <c:pt idx="1">
                  <c:v>Anchorage</c:v>
                </c:pt>
                <c:pt idx="2">
                  <c:v>Wilmington</c:v>
                </c:pt>
                <c:pt idx="3">
                  <c:v>Lewiston</c:v>
                </c:pt>
                <c:pt idx="4">
                  <c:v>Fargo</c:v>
                </c:pt>
                <c:pt idx="5">
                  <c:v>Cheyenne</c:v>
                </c:pt>
                <c:pt idx="6">
                  <c:v>Dover</c:v>
                </c:pt>
                <c:pt idx="7">
                  <c:v>Wheeling</c:v>
                </c:pt>
                <c:pt idx="8">
                  <c:v>Springfield</c:v>
                </c:pt>
                <c:pt idx="9">
                  <c:v>Burlington</c:v>
                </c:pt>
              </c:strCache>
            </c:strRef>
          </c:cat>
          <c:val>
            <c:numRef>
              <c:f>'Profit by City'!$E$4:$E$289</c:f>
              <c:numCache>
                <c:formatCode>0.00%;\-0.00%;0.00%</c:formatCode>
                <c:ptCount val="10"/>
                <c:pt idx="0">
                  <c:v>0.19259401647292915</c:v>
                </c:pt>
                <c:pt idx="1">
                  <c:v>0.15729897346906249</c:v>
                </c:pt>
                <c:pt idx="2">
                  <c:v>0.15151901723117109</c:v>
                </c:pt>
                <c:pt idx="3">
                  <c:v>0.13407009420612209</c:v>
                </c:pt>
                <c:pt idx="4">
                  <c:v>0.11808795686925634</c:v>
                </c:pt>
                <c:pt idx="5">
                  <c:v>8.4959196149824057E-2</c:v>
                </c:pt>
                <c:pt idx="6">
                  <c:v>6.5487948732923879E-2</c:v>
                </c:pt>
                <c:pt idx="7">
                  <c:v>5.9368167271926335E-2</c:v>
                </c:pt>
                <c:pt idx="8">
                  <c:v>5.4836268077365198E-2</c:v>
                </c:pt>
                <c:pt idx="9">
                  <c:v>1.7806441561869191E-3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FA-4422-9353-8DB8B0275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215215"/>
        <c:axId val="17742023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'Profit by City'!$C$3</c15:sqref>
                        </c15:formulaRef>
                      </c:ext>
                    </c:extLst>
                    <c:strCache>
                      <c:ptCount val="1"/>
                      <c:pt idx="0">
                        <c:v>Total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'Profit by City'!$B$4:$B$289</c15:sqref>
                        </c15:formulaRef>
                      </c:ext>
                    </c:extLst>
                    <c:strCache>
                      <c:ptCount val="10"/>
                      <c:pt idx="0">
                        <c:v>Lafayette</c:v>
                      </c:pt>
                      <c:pt idx="1">
                        <c:v>Anchorage</c:v>
                      </c:pt>
                      <c:pt idx="2">
                        <c:v>Wilmington</c:v>
                      </c:pt>
                      <c:pt idx="3">
                        <c:v>Lewiston</c:v>
                      </c:pt>
                      <c:pt idx="4">
                        <c:v>Fargo</c:v>
                      </c:pt>
                      <c:pt idx="5">
                        <c:v>Cheyenne</c:v>
                      </c:pt>
                      <c:pt idx="6">
                        <c:v>Dover</c:v>
                      </c:pt>
                      <c:pt idx="7">
                        <c:v>Wheeling</c:v>
                      </c:pt>
                      <c:pt idx="8">
                        <c:v>Springfield</c:v>
                      </c:pt>
                      <c:pt idx="9">
                        <c:v>Burlington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'Profit by City'!$C$4:$C$289</c15:sqref>
                        </c15:formulaRef>
                      </c:ext>
                    </c:extLst>
                    <c:numCache>
                      <c:formatCode>[$$-C09]#,##0.00</c:formatCode>
                      <c:ptCount val="10"/>
                      <c:pt idx="0">
                        <c:v>131032.1305</c:v>
                      </c:pt>
                      <c:pt idx="1">
                        <c:v>319191.79249999998</c:v>
                      </c:pt>
                      <c:pt idx="2">
                        <c:v>134485.2585</c:v>
                      </c:pt>
                      <c:pt idx="3">
                        <c:v>276181.7855</c:v>
                      </c:pt>
                      <c:pt idx="4">
                        <c:v>385506.6385</c:v>
                      </c:pt>
                      <c:pt idx="5">
                        <c:v>324376.86499999999</c:v>
                      </c:pt>
                      <c:pt idx="6">
                        <c:v>155822.2665</c:v>
                      </c:pt>
                      <c:pt idx="7">
                        <c:v>267570.42249999999</c:v>
                      </c:pt>
                      <c:pt idx="8">
                        <c:v>147376.25450000001</c:v>
                      </c:pt>
                      <c:pt idx="9">
                        <c:v>382756.3175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AFA-4422-9353-8DB8B0275DE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'Profit by City'!$D$3</c15:sqref>
                        </c15:formulaRef>
                      </c:ext>
                    </c:extLst>
                    <c:strCache>
                      <c:ptCount val="1"/>
                      <c:pt idx="0">
                        <c:v>Total Profit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'Profit by City'!$B$4:$B$289</c15:sqref>
                        </c15:formulaRef>
                      </c:ext>
                    </c:extLst>
                    <c:strCache>
                      <c:ptCount val="10"/>
                      <c:pt idx="0">
                        <c:v>Lafayette</c:v>
                      </c:pt>
                      <c:pt idx="1">
                        <c:v>Anchorage</c:v>
                      </c:pt>
                      <c:pt idx="2">
                        <c:v>Wilmington</c:v>
                      </c:pt>
                      <c:pt idx="3">
                        <c:v>Lewiston</c:v>
                      </c:pt>
                      <c:pt idx="4">
                        <c:v>Fargo</c:v>
                      </c:pt>
                      <c:pt idx="5">
                        <c:v>Cheyenne</c:v>
                      </c:pt>
                      <c:pt idx="6">
                        <c:v>Dover</c:v>
                      </c:pt>
                      <c:pt idx="7">
                        <c:v>Wheeling</c:v>
                      </c:pt>
                      <c:pt idx="8">
                        <c:v>Springfield</c:v>
                      </c:pt>
                      <c:pt idx="9">
                        <c:v>Burlington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'Profit by City'!$D$4:$D$289</c15:sqref>
                        </c15:formulaRef>
                      </c:ext>
                    </c:extLst>
                    <c:numCache>
                      <c:formatCode>[$$-C09]#,##0.00</c:formatCode>
                      <c:ptCount val="10"/>
                      <c:pt idx="0">
                        <c:v>25236.004300000001</c:v>
                      </c:pt>
                      <c:pt idx="1">
                        <c:v>50208.541299999997</c:v>
                      </c:pt>
                      <c:pt idx="2">
                        <c:v>20377.074199999999</c:v>
                      </c:pt>
                      <c:pt idx="3">
                        <c:v>37027.718000000001</c:v>
                      </c:pt>
                      <c:pt idx="4">
                        <c:v>45523.691299999999</c:v>
                      </c:pt>
                      <c:pt idx="5">
                        <c:v>27558.797699999999</c:v>
                      </c:pt>
                      <c:pt idx="6">
                        <c:v>10204.480600000001</c:v>
                      </c:pt>
                      <c:pt idx="7">
                        <c:v>15885.1656</c:v>
                      </c:pt>
                      <c:pt idx="8">
                        <c:v>8081.5637999999999</c:v>
                      </c:pt>
                      <c:pt idx="9">
                        <c:v>681.55280000000005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AFA-4422-9353-8DB8B0275DED}"/>
                  </c:ext>
                </c:extLst>
              </c15:ser>
            </c15:filteredBarSeries>
          </c:ext>
        </c:extLst>
      </c:barChart>
      <c:catAx>
        <c:axId val="177421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202319"/>
        <c:crosses val="autoZero"/>
        <c:auto val="1"/>
        <c:lblAlgn val="ctr"/>
        <c:lblOffset val="100"/>
        <c:noMultiLvlLbl val="0"/>
      </c:catAx>
      <c:valAx>
        <c:axId val="177420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21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v. Profit by Product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Sales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'Product sales v. Profit'!$B$4:$B$7</c15:sqref>
                  </c15:fullRef>
                </c:ext>
              </c:extLst>
              <c:f>'Product sales v. Profit'!$B$4:$B$6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'Product sales v. Profit'!$C$4:$C$7</c15:sqref>
                  </c15:fullRef>
                </c:ext>
              </c:extLst>
              <c:f>'Product sales v. Profit'!$C$4:$C$6</c:f>
              <c:numCache>
                <c:formatCode>[$$-45C]#,##0.00</c:formatCode>
                <c:ptCount val="3"/>
                <c:pt idx="0">
                  <c:v>5117067.8219999997</c:v>
                </c:pt>
                <c:pt idx="1">
                  <c:v>3682842.73</c:v>
                </c:pt>
                <c:pt idx="2">
                  <c:v>5859151.6435000002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5576-43D5-9566-AF4300FFBE93}"/>
            </c:ext>
          </c:extLst>
        </c:ser>
        <c:ser>
          <c:idx val="1"/>
          <c:order val="1"/>
          <c:tx>
            <c:v>Total Profit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'Product sales v. Profit'!$B$4:$B$7</c15:sqref>
                  </c15:fullRef>
                </c:ext>
              </c:extLst>
              <c:f>'Product sales v. Profit'!$B$4:$B$6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'Product sales v. Profit'!$D$4:$D$7</c15:sqref>
                  </c15:fullRef>
                </c:ext>
              </c:extLst>
              <c:f>'Product sales v. Profit'!$D$4:$D$6</c:f>
              <c:numCache>
                <c:formatCode>[$$-45C]#,##0.00</c:formatCode>
                <c:ptCount val="3"/>
                <c:pt idx="0">
                  <c:v>110709.7859</c:v>
                </c:pt>
                <c:pt idx="1">
                  <c:v>507223.35849999997</c:v>
                </c:pt>
                <c:pt idx="2">
                  <c:v>868111.37569999998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5576-43D5-9566-AF4300FFB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811610"/>
        <c:axId val="822883053"/>
      </c:barChart>
      <c:catAx>
        <c:axId val="14658116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883053"/>
        <c:crosses val="autoZero"/>
        <c:auto val="1"/>
        <c:lblAlgn val="ctr"/>
        <c:lblOffset val="100"/>
        <c:noMultiLvlLbl val="1"/>
      </c:catAx>
      <c:valAx>
        <c:axId val="8228830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8116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Delivery Truck, Express Air and Regular Air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'Shipping Cost v. Delivery Mode'!$C$2:$C$3</c:f>
              <c:strCache>
                <c:ptCount val="2"/>
                <c:pt idx="1">
                  <c:v>Delivery Truck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cat>
            <c:strRef>
              <c:f>'Shipping Cost v. Delivery Mode'!$B$4:$B$11</c:f>
              <c:strCache>
                <c:ptCount val="8"/>
                <c:pt idx="0">
                  <c:v>Pacific</c:v>
                </c:pt>
                <c:pt idx="1">
                  <c:v>Pacific Northwest</c:v>
                </c:pt>
                <c:pt idx="2">
                  <c:v>Central</c:v>
                </c:pt>
                <c:pt idx="3">
                  <c:v>Mid-Atlantic</c:v>
                </c:pt>
                <c:pt idx="4">
                  <c:v>Northeast</c:v>
                </c:pt>
                <c:pt idx="5">
                  <c:v>West</c:v>
                </c:pt>
                <c:pt idx="6">
                  <c:v>Midwest</c:v>
                </c:pt>
                <c:pt idx="7">
                  <c:v>South</c:v>
                </c:pt>
              </c:strCache>
            </c:strRef>
          </c:cat>
          <c:val>
            <c:numRef>
              <c:f>'Shipping Cost v. Delivery Mode'!$C$4:$C$11</c:f>
              <c:numCache>
                <c:formatCode>[$$-1004]#,##0.00</c:formatCode>
                <c:ptCount val="8"/>
                <c:pt idx="0">
                  <c:v>1286.03</c:v>
                </c:pt>
                <c:pt idx="1">
                  <c:v>1783.67</c:v>
                </c:pt>
                <c:pt idx="2">
                  <c:v>4169.8599999999997</c:v>
                </c:pt>
                <c:pt idx="3">
                  <c:v>5495.21</c:v>
                </c:pt>
                <c:pt idx="4">
                  <c:v>7691.4</c:v>
                </c:pt>
                <c:pt idx="5">
                  <c:v>8832.83</c:v>
                </c:pt>
                <c:pt idx="6">
                  <c:v>9617.3700000000008</c:v>
                </c:pt>
                <c:pt idx="7">
                  <c:v>12600.03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DE3F-4904-BA3E-96C3E1431CD1}"/>
            </c:ext>
          </c:extLst>
        </c:ser>
        <c:ser>
          <c:idx val="1"/>
          <c:order val="1"/>
          <c:tx>
            <c:strRef>
              <c:f>'Shipping Cost v. Delivery Mode'!$D$2:$D$3</c:f>
              <c:strCache>
                <c:ptCount val="2"/>
                <c:pt idx="1">
                  <c:v>Express Air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1"/>
          <c:cat>
            <c:strRef>
              <c:f>'Shipping Cost v. Delivery Mode'!$B$4:$B$11</c:f>
              <c:strCache>
                <c:ptCount val="8"/>
                <c:pt idx="0">
                  <c:v>Pacific</c:v>
                </c:pt>
                <c:pt idx="1">
                  <c:v>Pacific Northwest</c:v>
                </c:pt>
                <c:pt idx="2">
                  <c:v>Central</c:v>
                </c:pt>
                <c:pt idx="3">
                  <c:v>Mid-Atlantic</c:v>
                </c:pt>
                <c:pt idx="4">
                  <c:v>Northeast</c:v>
                </c:pt>
                <c:pt idx="5">
                  <c:v>West</c:v>
                </c:pt>
                <c:pt idx="6">
                  <c:v>Midwest</c:v>
                </c:pt>
                <c:pt idx="7">
                  <c:v>South</c:v>
                </c:pt>
              </c:strCache>
            </c:strRef>
          </c:cat>
          <c:val>
            <c:numRef>
              <c:f>'Shipping Cost v. Delivery Mode'!$D$4:$D$11</c:f>
              <c:numCache>
                <c:formatCode>[$$-1004]#,##0.00</c:formatCode>
                <c:ptCount val="8"/>
                <c:pt idx="0">
                  <c:v>104.62</c:v>
                </c:pt>
                <c:pt idx="1">
                  <c:v>280.85000000000002</c:v>
                </c:pt>
                <c:pt idx="2">
                  <c:v>523.03</c:v>
                </c:pt>
                <c:pt idx="3">
                  <c:v>719.69</c:v>
                </c:pt>
                <c:pt idx="4">
                  <c:v>1181.98</c:v>
                </c:pt>
                <c:pt idx="5">
                  <c:v>1347.27</c:v>
                </c:pt>
                <c:pt idx="6">
                  <c:v>1573.03</c:v>
                </c:pt>
                <c:pt idx="7">
                  <c:v>1984.53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DE3F-4904-BA3E-96C3E1431CD1}"/>
            </c:ext>
          </c:extLst>
        </c:ser>
        <c:ser>
          <c:idx val="2"/>
          <c:order val="2"/>
          <c:tx>
            <c:strRef>
              <c:f>'Shipping Cost v. Delivery Mode'!$E$2:$E$3</c:f>
              <c:strCache>
                <c:ptCount val="2"/>
                <c:pt idx="1">
                  <c:v>Regular Air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1"/>
          <c:cat>
            <c:strRef>
              <c:f>'Shipping Cost v. Delivery Mode'!$B$4:$B$11</c:f>
              <c:strCache>
                <c:ptCount val="8"/>
                <c:pt idx="0">
                  <c:v>Pacific</c:v>
                </c:pt>
                <c:pt idx="1">
                  <c:v>Pacific Northwest</c:v>
                </c:pt>
                <c:pt idx="2">
                  <c:v>Central</c:v>
                </c:pt>
                <c:pt idx="3">
                  <c:v>Mid-Atlantic</c:v>
                </c:pt>
                <c:pt idx="4">
                  <c:v>Northeast</c:v>
                </c:pt>
                <c:pt idx="5">
                  <c:v>West</c:v>
                </c:pt>
                <c:pt idx="6">
                  <c:v>Midwest</c:v>
                </c:pt>
                <c:pt idx="7">
                  <c:v>South</c:v>
                </c:pt>
              </c:strCache>
            </c:strRef>
          </c:cat>
          <c:val>
            <c:numRef>
              <c:f>'Shipping Cost v. Delivery Mode'!$E$4:$E$11</c:f>
              <c:numCache>
                <c:formatCode>[$$-1004]#,##0.00</c:formatCode>
                <c:ptCount val="8"/>
                <c:pt idx="0">
                  <c:v>981.14</c:v>
                </c:pt>
                <c:pt idx="1">
                  <c:v>2000.59</c:v>
                </c:pt>
                <c:pt idx="2">
                  <c:v>3874.58</c:v>
                </c:pt>
                <c:pt idx="3">
                  <c:v>4742.91</c:v>
                </c:pt>
                <c:pt idx="4">
                  <c:v>7470.64</c:v>
                </c:pt>
                <c:pt idx="5">
                  <c:v>9246.58</c:v>
                </c:pt>
                <c:pt idx="6">
                  <c:v>8900.65</c:v>
                </c:pt>
                <c:pt idx="7">
                  <c:v>9889.43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DE3F-4904-BA3E-96C3E1431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529576"/>
        <c:axId val="1454335870"/>
      </c:barChart>
      <c:catAx>
        <c:axId val="967529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335870"/>
        <c:crosses val="autoZero"/>
        <c:auto val="1"/>
        <c:lblAlgn val="ctr"/>
        <c:lblOffset val="100"/>
        <c:noMultiLvlLbl val="1"/>
      </c:catAx>
      <c:valAx>
        <c:axId val="14543358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$-1004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529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Marketing channel by Segment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Consumer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cat>
            <c:strRef>
              <c:f>'Marketing Channel v. Customer'!$B$4:$B$11</c:f>
              <c:strCache>
                <c:ptCount val="7"/>
                <c:pt idx="0">
                  <c:v>Email Marketing</c:v>
                </c:pt>
                <c:pt idx="1">
                  <c:v>Direct Sales</c:v>
                </c:pt>
                <c:pt idx="2">
                  <c:v>Tradeshows and Events</c:v>
                </c:pt>
                <c:pt idx="3">
                  <c:v>Google Adwords</c:v>
                </c:pt>
                <c:pt idx="4">
                  <c:v>Direct Mail</c:v>
                </c:pt>
                <c:pt idx="5">
                  <c:v>Social Media</c:v>
                </c:pt>
                <c:pt idx="6">
                  <c:v>SEO</c:v>
                </c:pt>
              </c:strCache>
            </c:strRef>
          </c:cat>
          <c:val>
            <c:numRef>
              <c:f>'Marketing Channel v. Customer'!$C$4:$C$11</c:f>
              <c:numCache>
                <c:formatCode>[$$-C09]#,##0.00</c:formatCode>
                <c:ptCount val="7"/>
                <c:pt idx="0">
                  <c:v>886239.29350000003</c:v>
                </c:pt>
                <c:pt idx="1">
                  <c:v>676550.25800000003</c:v>
                </c:pt>
                <c:pt idx="2">
                  <c:v>603727.69999999995</c:v>
                </c:pt>
                <c:pt idx="3">
                  <c:v>530856.826</c:v>
                </c:pt>
                <c:pt idx="4">
                  <c:v>163292.60200000001</c:v>
                </c:pt>
                <c:pt idx="5">
                  <c:v>103391.037</c:v>
                </c:pt>
                <c:pt idx="6">
                  <c:v>54315.957499999997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88F4-4F6E-AF5F-22DF5BFBEB75}"/>
            </c:ext>
          </c:extLst>
        </c:ser>
        <c:ser>
          <c:idx val="1"/>
          <c:order val="1"/>
          <c:tx>
            <c:v>Corporate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1"/>
          <c:cat>
            <c:strRef>
              <c:f>'Marketing Channel v. Customer'!$B$4:$B$11</c:f>
              <c:strCache>
                <c:ptCount val="7"/>
                <c:pt idx="0">
                  <c:v>Email Marketing</c:v>
                </c:pt>
                <c:pt idx="1">
                  <c:v>Direct Sales</c:v>
                </c:pt>
                <c:pt idx="2">
                  <c:v>Tradeshows and Events</c:v>
                </c:pt>
                <c:pt idx="3">
                  <c:v>Google Adwords</c:v>
                </c:pt>
                <c:pt idx="4">
                  <c:v>Direct Mail</c:v>
                </c:pt>
                <c:pt idx="5">
                  <c:v>Social Media</c:v>
                </c:pt>
                <c:pt idx="6">
                  <c:v>SEO</c:v>
                </c:pt>
              </c:strCache>
            </c:strRef>
          </c:cat>
          <c:val>
            <c:numRef>
              <c:f>'Marketing Channel v. Customer'!$D$4:$D$11</c:f>
              <c:numCache>
                <c:formatCode>[$$-C09]#,##0.00</c:formatCode>
                <c:ptCount val="7"/>
                <c:pt idx="0">
                  <c:v>1912978.6359999999</c:v>
                </c:pt>
                <c:pt idx="1">
                  <c:v>1323933.23</c:v>
                </c:pt>
                <c:pt idx="2">
                  <c:v>1012560.536</c:v>
                </c:pt>
                <c:pt idx="3">
                  <c:v>612236.65800000005</c:v>
                </c:pt>
                <c:pt idx="4">
                  <c:v>239367.117</c:v>
                </c:pt>
                <c:pt idx="5">
                  <c:v>206174.48149999999</c:v>
                </c:pt>
                <c:pt idx="6">
                  <c:v>102665.3955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88F4-4F6E-AF5F-22DF5BFBEB75}"/>
            </c:ext>
          </c:extLst>
        </c:ser>
        <c:ser>
          <c:idx val="2"/>
          <c:order val="2"/>
          <c:tx>
            <c:v>Home Office</c:v>
          </c:tx>
          <c:spPr>
            <a:solidFill>
              <a:srgbClr val="A5A5A5"/>
            </a:solidFill>
            <a:ln>
              <a:noFill/>
            </a:ln>
            <a:effectLst/>
          </c:spPr>
          <c:invertIfNegative val="1"/>
          <c:cat>
            <c:strRef>
              <c:f>'Marketing Channel v. Customer'!$B$4:$B$11</c:f>
              <c:strCache>
                <c:ptCount val="7"/>
                <c:pt idx="0">
                  <c:v>Email Marketing</c:v>
                </c:pt>
                <c:pt idx="1">
                  <c:v>Direct Sales</c:v>
                </c:pt>
                <c:pt idx="2">
                  <c:v>Tradeshows and Events</c:v>
                </c:pt>
                <c:pt idx="3">
                  <c:v>Google Adwords</c:v>
                </c:pt>
                <c:pt idx="4">
                  <c:v>Direct Mail</c:v>
                </c:pt>
                <c:pt idx="5">
                  <c:v>Social Media</c:v>
                </c:pt>
                <c:pt idx="6">
                  <c:v>SEO</c:v>
                </c:pt>
              </c:strCache>
            </c:strRef>
          </c:cat>
          <c:val>
            <c:numRef>
              <c:f>'Marketing Channel v. Customer'!$E$4:$E$11</c:f>
              <c:numCache>
                <c:formatCode>[$$-C09]#,##0.00</c:formatCode>
                <c:ptCount val="7"/>
                <c:pt idx="0">
                  <c:v>1205204.398</c:v>
                </c:pt>
                <c:pt idx="1">
                  <c:v>711409.15</c:v>
                </c:pt>
                <c:pt idx="2">
                  <c:v>647717.74399999995</c:v>
                </c:pt>
                <c:pt idx="3">
                  <c:v>528898.72400000005</c:v>
                </c:pt>
                <c:pt idx="4">
                  <c:v>180728.5275</c:v>
                </c:pt>
                <c:pt idx="5">
                  <c:v>127760.01549999999</c:v>
                </c:pt>
                <c:pt idx="6">
                  <c:v>65573.238500000007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88F4-4F6E-AF5F-22DF5BFBEB75}"/>
            </c:ext>
          </c:extLst>
        </c:ser>
        <c:ser>
          <c:idx val="3"/>
          <c:order val="3"/>
          <c:tx>
            <c:v>Small Business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1"/>
          <c:cat>
            <c:strRef>
              <c:f>'Marketing Channel v. Customer'!$B$4:$B$11</c:f>
              <c:strCache>
                <c:ptCount val="7"/>
                <c:pt idx="0">
                  <c:v>Email Marketing</c:v>
                </c:pt>
                <c:pt idx="1">
                  <c:v>Direct Sales</c:v>
                </c:pt>
                <c:pt idx="2">
                  <c:v>Tradeshows and Events</c:v>
                </c:pt>
                <c:pt idx="3">
                  <c:v>Google Adwords</c:v>
                </c:pt>
                <c:pt idx="4">
                  <c:v>Direct Mail</c:v>
                </c:pt>
                <c:pt idx="5">
                  <c:v>Social Media</c:v>
                </c:pt>
                <c:pt idx="6">
                  <c:v>SEO</c:v>
                </c:pt>
              </c:strCache>
            </c:strRef>
          </c:cat>
          <c:val>
            <c:numRef>
              <c:f>'Marketing Channel v. Customer'!$F$4:$F$11</c:f>
              <c:numCache>
                <c:formatCode>[$$-C09]#,##0.00</c:formatCode>
                <c:ptCount val="7"/>
                <c:pt idx="0">
                  <c:v>962503.875</c:v>
                </c:pt>
                <c:pt idx="1">
                  <c:v>655952.26599999995</c:v>
                </c:pt>
                <c:pt idx="2">
                  <c:v>516711.38400000002</c:v>
                </c:pt>
                <c:pt idx="3">
                  <c:v>371937.35600000003</c:v>
                </c:pt>
                <c:pt idx="4">
                  <c:v>103793.6275</c:v>
                </c:pt>
                <c:pt idx="5">
                  <c:v>103552.3285</c:v>
                </c:pt>
                <c:pt idx="6">
                  <c:v>49029.832999999999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88F4-4F6E-AF5F-22DF5BFBE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040035"/>
        <c:axId val="1551902201"/>
      </c:barChart>
      <c:catAx>
        <c:axId val="13070400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902201"/>
        <c:crosses val="autoZero"/>
        <c:auto val="1"/>
        <c:lblAlgn val="ctr"/>
        <c:lblOffset val="100"/>
        <c:noMultiLvlLbl val="1"/>
      </c:catAx>
      <c:valAx>
        <c:axId val="15519022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0400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by Marketing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472C4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AB-4C7B-97BC-7759FBA00159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AB-4C7B-97BC-7759FBA00159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AB-4C7B-97BC-7759FBA00159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AB-4C7B-97BC-7759FBA00159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AB-4C7B-97BC-7759FBA00159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AB-4C7B-97BC-7759FBA00159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8AB-4C7B-97BC-7759FBA00159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8AB-4C7B-97BC-7759FBA00159}"/>
              </c:ext>
            </c:extLst>
          </c:dPt>
          <c:cat>
            <c:strRef>
              <c:f>'Marketing Channel v. Profit'!$B$4:$B$11</c:f>
              <c:strCache>
                <c:ptCount val="7"/>
                <c:pt idx="0">
                  <c:v>Email Marketing</c:v>
                </c:pt>
                <c:pt idx="1">
                  <c:v>Direct Sales</c:v>
                </c:pt>
                <c:pt idx="2">
                  <c:v>Google Adwords</c:v>
                </c:pt>
                <c:pt idx="3">
                  <c:v>Direct Mail</c:v>
                </c:pt>
                <c:pt idx="4">
                  <c:v>Social Media</c:v>
                </c:pt>
                <c:pt idx="5">
                  <c:v>SEO</c:v>
                </c:pt>
                <c:pt idx="6">
                  <c:v>Tradeshows and Events</c:v>
                </c:pt>
              </c:strCache>
            </c:strRef>
          </c:cat>
          <c:val>
            <c:numRef>
              <c:f>'Marketing Channel v. Profit'!$C$4:$C$11</c:f>
              <c:numCache>
                <c:formatCode>[$$-C09]#,##0.00</c:formatCode>
                <c:ptCount val="7"/>
                <c:pt idx="0">
                  <c:v>902580.52870000002</c:v>
                </c:pt>
                <c:pt idx="1">
                  <c:v>346827.11450000003</c:v>
                </c:pt>
                <c:pt idx="2">
                  <c:v>105641.5355</c:v>
                </c:pt>
                <c:pt idx="3">
                  <c:v>99619.167100000006</c:v>
                </c:pt>
                <c:pt idx="4">
                  <c:v>88070.01</c:v>
                </c:pt>
                <c:pt idx="5">
                  <c:v>26929.313999999998</c:v>
                </c:pt>
                <c:pt idx="6">
                  <c:v>-83623.149699999994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571-40EC-BD0C-1EDDCAEED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2648546"/>
        <c:axId val="2050087028"/>
      </c:barChart>
      <c:catAx>
        <c:axId val="188264854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087028"/>
        <c:crosses val="autoZero"/>
        <c:auto val="1"/>
        <c:lblAlgn val="ctr"/>
        <c:lblOffset val="100"/>
        <c:noMultiLvlLbl val="1"/>
      </c:catAx>
      <c:valAx>
        <c:axId val="20500870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64854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Performance by  Marketing Channels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'Marketing Channels v. Sales Per'!$B$4:$B$11</c15:sqref>
                  </c15:fullRef>
                </c:ext>
              </c:extLst>
              <c:f>'Marketing Channels v. Sales Per'!$B$4:$B$10</c:f>
              <c:strCache>
                <c:ptCount val="7"/>
                <c:pt idx="0">
                  <c:v>Email Marketing</c:v>
                </c:pt>
                <c:pt idx="1">
                  <c:v>Direct Sales</c:v>
                </c:pt>
                <c:pt idx="2">
                  <c:v>Tradeshows and Events</c:v>
                </c:pt>
                <c:pt idx="3">
                  <c:v>Google Adwords</c:v>
                </c:pt>
                <c:pt idx="4">
                  <c:v>Direct Mail</c:v>
                </c:pt>
                <c:pt idx="5">
                  <c:v>Social Media</c:v>
                </c:pt>
                <c:pt idx="6">
                  <c:v>SEO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'Marketing Channels v. Sales Per'!$C$4:$C$11</c15:sqref>
                  </c15:fullRef>
                </c:ext>
              </c:extLst>
              <c:f>'Marketing Channels v. Sales Per'!$C$4:$C$10</c:f>
              <c:numCache>
                <c:formatCode>[$$-C09]#,##0.00</c:formatCode>
                <c:ptCount val="7"/>
                <c:pt idx="0">
                  <c:v>959947.83750000002</c:v>
                </c:pt>
                <c:pt idx="1">
                  <c:v>760938.41200000001</c:v>
                </c:pt>
                <c:pt idx="2">
                  <c:v>558471.03599999996</c:v>
                </c:pt>
                <c:pt idx="3">
                  <c:v>449650.26199999999</c:v>
                </c:pt>
                <c:pt idx="4">
                  <c:v>107205.853</c:v>
                </c:pt>
                <c:pt idx="5">
                  <c:v>104307.095</c:v>
                </c:pt>
                <c:pt idx="6">
                  <c:v>41283.353000000003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4EA-47F5-AAF7-A96F930059B8}"/>
            </c:ext>
          </c:extLst>
        </c:ser>
        <c:ser>
          <c:idx val="1"/>
          <c:order val="1"/>
          <c:tx>
            <c:v>total profit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'Marketing Channels v. Sales Per'!$B$4:$B$11</c15:sqref>
                  </c15:fullRef>
                </c:ext>
              </c:extLst>
              <c:f>'Marketing Channels v. Sales Per'!$B$4:$B$10</c:f>
              <c:strCache>
                <c:ptCount val="7"/>
                <c:pt idx="0">
                  <c:v>Email Marketing</c:v>
                </c:pt>
                <c:pt idx="1">
                  <c:v>Direct Sales</c:v>
                </c:pt>
                <c:pt idx="2">
                  <c:v>Tradeshows and Events</c:v>
                </c:pt>
                <c:pt idx="3">
                  <c:v>Google Adwords</c:v>
                </c:pt>
                <c:pt idx="4">
                  <c:v>Direct Mail</c:v>
                </c:pt>
                <c:pt idx="5">
                  <c:v>Social Media</c:v>
                </c:pt>
                <c:pt idx="6">
                  <c:v>SEO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'Marketing Channels v. Sales Per'!$D$4:$D$11</c15:sqref>
                  </c15:fullRef>
                </c:ext>
              </c:extLst>
              <c:f>'Marketing Channels v. Sales Per'!$D$4:$D$10</c:f>
              <c:numCache>
                <c:formatCode>[$$-C09]#,##0.00</c:formatCode>
                <c:ptCount val="7"/>
                <c:pt idx="0">
                  <c:v>1008662.6248</c:v>
                </c:pt>
                <c:pt idx="1">
                  <c:v>809228.64910000004</c:v>
                </c:pt>
                <c:pt idx="2">
                  <c:v>533333.04280000005</c:v>
                </c:pt>
                <c:pt idx="3">
                  <c:v>482235.18209999998</c:v>
                </c:pt>
                <c:pt idx="4">
                  <c:v>128224.7953</c:v>
                </c:pt>
                <c:pt idx="5">
                  <c:v>103990.37519999999</c:v>
                </c:pt>
                <c:pt idx="6">
                  <c:v>41014.447200000002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F4EA-47F5-AAF7-A96F93005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1229787"/>
        <c:axId val="1368169243"/>
      </c:barChart>
      <c:catAx>
        <c:axId val="15012297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69243"/>
        <c:crosses val="autoZero"/>
        <c:auto val="1"/>
        <c:lblAlgn val="ctr"/>
        <c:lblOffset val="100"/>
        <c:noMultiLvlLbl val="1"/>
      </c:catAx>
      <c:valAx>
        <c:axId val="13681692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2297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'Product Category'!$B$4:$B$7</c15:sqref>
                  </c15:fullRef>
                </c:ext>
              </c:extLst>
              <c:f>'Product Category'!$B$4:$B$6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'Product Category'!$C$4:$C$7</c15:sqref>
                  </c15:fullRef>
                </c:ext>
              </c:extLst>
              <c:f>'Product Category'!$C$4:$C$6</c:f>
              <c:numCache>
                <c:formatCode>[$$-45C]#,##0.00</c:formatCode>
                <c:ptCount val="3"/>
                <c:pt idx="0">
                  <c:v>5117067.8219999997</c:v>
                </c:pt>
                <c:pt idx="1">
                  <c:v>3682842.73</c:v>
                </c:pt>
                <c:pt idx="2">
                  <c:v>5859151.6435000002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8416-49FC-B6FC-ED8D4D8503B5}"/>
            </c:ext>
          </c:extLst>
        </c:ser>
        <c:ser>
          <c:idx val="1"/>
          <c:order val="1"/>
          <c:tx>
            <c:v>total profit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'Product Category'!$B$4:$B$7</c15:sqref>
                  </c15:fullRef>
                </c:ext>
              </c:extLst>
              <c:f>'Product Category'!$B$4:$B$6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'Product Category'!$D$4:$D$7</c15:sqref>
                  </c15:fullRef>
                </c:ext>
              </c:extLst>
              <c:f>'Product Category'!$D$4:$D$6</c:f>
              <c:numCache>
                <c:formatCode>"$"#,##0.00</c:formatCode>
                <c:ptCount val="3"/>
                <c:pt idx="0">
                  <c:v>4916102.3639000002</c:v>
                </c:pt>
                <c:pt idx="1">
                  <c:v>3728029.3977000001</c:v>
                </c:pt>
                <c:pt idx="2">
                  <c:v>5985917.5733000003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8416-49FC-B6FC-ED8D4D85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011157"/>
        <c:axId val="159260684"/>
      </c:barChart>
      <c:catAx>
        <c:axId val="17901115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0684"/>
        <c:crosses val="autoZero"/>
        <c:auto val="1"/>
        <c:lblAlgn val="ctr"/>
        <c:lblOffset val="100"/>
        <c:noMultiLvlLbl val="1"/>
      </c:catAx>
      <c:valAx>
        <c:axId val="1592606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111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'Product Profit'!$B$3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13C-8705-79DB724FDA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13C-8705-79DB724FDA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13C-8705-79DB724FDA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'Product Profit'!$A$4:$A$7</c15:sqref>
                  </c15:fullRef>
                </c:ext>
              </c:extLst>
              <c:f>'Product Profit'!$A$4:$A$6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'Product Profit'!$B$4:$B$7</c15:sqref>
                  </c15:fullRef>
                </c:ext>
              </c:extLst>
              <c:f>'Product Profit'!$B$4:$B$6</c:f>
              <c:numCache>
                <c:formatCode>[$$-2809]#,##0.00</c:formatCode>
                <c:ptCount val="3"/>
                <c:pt idx="0">
                  <c:v>23629.824400000001</c:v>
                </c:pt>
                <c:pt idx="1">
                  <c:v>43756.256999999998</c:v>
                </c:pt>
                <c:pt idx="2">
                  <c:v>68696.712700000004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'Product Profit'!$B$7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7-7EF4-413C-8705-79DB724FD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7</xdr:row>
      <xdr:rowOff>142875</xdr:rowOff>
    </xdr:from>
    <xdr:ext cx="5572125" cy="3781425"/>
    <xdr:graphicFrame macro="">
      <xdr:nvGraphicFramePr>
        <xdr:cNvPr id="881608709" name="Chart 1" title="Chart">
          <a:extLst>
            <a:ext uri="{FF2B5EF4-FFF2-40B4-BE49-F238E27FC236}">
              <a16:creationId xmlns:a16="http://schemas.microsoft.com/office/drawing/2014/main" id="{00000000-0008-0000-0000-000005488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219075</xdr:colOff>
      <xdr:row>1</xdr:row>
      <xdr:rowOff>0</xdr:rowOff>
    </xdr:from>
    <xdr:ext cx="7143750" cy="4419600"/>
    <xdr:graphicFrame macro="">
      <xdr:nvGraphicFramePr>
        <xdr:cNvPr id="1479323156" name="Chart 2" title="Chart">
          <a:extLst>
            <a:ext uri="{FF2B5EF4-FFF2-40B4-BE49-F238E27FC236}">
              <a16:creationId xmlns:a16="http://schemas.microsoft.com/office/drawing/2014/main" id="{00000000-0008-0000-0100-000014AE2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200024</xdr:colOff>
      <xdr:row>1</xdr:row>
      <xdr:rowOff>0</xdr:rowOff>
    </xdr:from>
    <xdr:ext cx="6467475" cy="3609975"/>
    <xdr:graphicFrame macro="">
      <xdr:nvGraphicFramePr>
        <xdr:cNvPr id="122035282" name="Chart 3" title="Chart">
          <a:extLst>
            <a:ext uri="{FF2B5EF4-FFF2-40B4-BE49-F238E27FC236}">
              <a16:creationId xmlns:a16="http://schemas.microsoft.com/office/drawing/2014/main" id="{00000000-0008-0000-0200-0000521C4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142875</xdr:colOff>
      <xdr:row>0</xdr:row>
      <xdr:rowOff>295275</xdr:rowOff>
    </xdr:from>
    <xdr:ext cx="7553325" cy="4724400"/>
    <xdr:graphicFrame macro="">
      <xdr:nvGraphicFramePr>
        <xdr:cNvPr id="1997323205" name="Chart 4" title="Chart">
          <a:extLst>
            <a:ext uri="{FF2B5EF4-FFF2-40B4-BE49-F238E27FC236}">
              <a16:creationId xmlns:a16="http://schemas.microsoft.com/office/drawing/2014/main" id="{00000000-0008-0000-0300-0000C5BB0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516</xdr:row>
      <xdr:rowOff>171456</xdr:rowOff>
    </xdr:from>
    <xdr:to>
      <xdr:col>5</xdr:col>
      <xdr:colOff>152400</xdr:colOff>
      <xdr:row>530</xdr:row>
      <xdr:rowOff>114306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727966-2891-40F9-84F3-862BC1622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200025</xdr:colOff>
      <xdr:row>1</xdr:row>
      <xdr:rowOff>657225</xdr:rowOff>
    </xdr:from>
    <xdr:ext cx="5972175" cy="4305300"/>
    <xdr:graphicFrame macro="">
      <xdr:nvGraphicFramePr>
        <xdr:cNvPr id="284652428" name="Chart 5" title="Chart">
          <a:extLst>
            <a:ext uri="{FF2B5EF4-FFF2-40B4-BE49-F238E27FC236}">
              <a16:creationId xmlns:a16="http://schemas.microsoft.com/office/drawing/2014/main" id="{00000000-0008-0000-0500-00008C73F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12</xdr:row>
      <xdr:rowOff>95250</xdr:rowOff>
    </xdr:from>
    <xdr:ext cx="7296150" cy="4514850"/>
    <xdr:graphicFrame macro="">
      <xdr:nvGraphicFramePr>
        <xdr:cNvPr id="857331389" name="Chart 6" title="Chart">
          <a:extLst>
            <a:ext uri="{FF2B5EF4-FFF2-40B4-BE49-F238E27FC236}">
              <a16:creationId xmlns:a16="http://schemas.microsoft.com/office/drawing/2014/main" id="{00000000-0008-0000-0600-0000BDD61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11</xdr:row>
      <xdr:rowOff>133350</xdr:rowOff>
    </xdr:from>
    <xdr:ext cx="8001000" cy="4391025"/>
    <xdr:graphicFrame macro="">
      <xdr:nvGraphicFramePr>
        <xdr:cNvPr id="1774620705" name="Chart 7" title="Chart">
          <a:extLst>
            <a:ext uri="{FF2B5EF4-FFF2-40B4-BE49-F238E27FC236}">
              <a16:creationId xmlns:a16="http://schemas.microsoft.com/office/drawing/2014/main" id="{00000000-0008-0000-0700-00002190C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247650</xdr:colOff>
      <xdr:row>1</xdr:row>
      <xdr:rowOff>228600</xdr:rowOff>
    </xdr:from>
    <xdr:ext cx="10420350" cy="5743575"/>
    <xdr:graphicFrame macro="">
      <xdr:nvGraphicFramePr>
        <xdr:cNvPr id="85879088" name="Chart 8" title="Chart">
          <a:extLst>
            <a:ext uri="{FF2B5EF4-FFF2-40B4-BE49-F238E27FC236}">
              <a16:creationId xmlns:a16="http://schemas.microsoft.com/office/drawing/2014/main" id="{00000000-0008-0000-0800-000030691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</xdr:colOff>
      <xdr:row>11</xdr:row>
      <xdr:rowOff>142875</xdr:rowOff>
    </xdr:from>
    <xdr:ext cx="6924675" cy="4076700"/>
    <xdr:graphicFrame macro="">
      <xdr:nvGraphicFramePr>
        <xdr:cNvPr id="1293979594" name="Chart 9" title="Chart">
          <a:extLst>
            <a:ext uri="{FF2B5EF4-FFF2-40B4-BE49-F238E27FC236}">
              <a16:creationId xmlns:a16="http://schemas.microsoft.com/office/drawing/2014/main" id="{00000000-0008-0000-0900-0000CA8F2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7</xdr:row>
      <xdr:rowOff>114300</xdr:rowOff>
    </xdr:from>
    <xdr:ext cx="6296025" cy="3819525"/>
    <xdr:graphicFrame macro="">
      <xdr:nvGraphicFramePr>
        <xdr:cNvPr id="606457688" name="Chart 10" title="Chart">
          <a:extLst>
            <a:ext uri="{FF2B5EF4-FFF2-40B4-BE49-F238E27FC236}">
              <a16:creationId xmlns:a16="http://schemas.microsoft.com/office/drawing/2014/main" id="{00000000-0008-0000-0A00-000058CF2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371475</xdr:colOff>
      <xdr:row>2</xdr:row>
      <xdr:rowOff>9525</xdr:rowOff>
    </xdr:from>
    <xdr:ext cx="5800725" cy="4257675"/>
    <xdr:graphicFrame macro="">
      <xdr:nvGraphicFramePr>
        <xdr:cNvPr id="1333891955" name="Chart 11" title="Chart">
          <a:extLst>
            <a:ext uri="{FF2B5EF4-FFF2-40B4-BE49-F238E27FC236}">
              <a16:creationId xmlns:a16="http://schemas.microsoft.com/office/drawing/2014/main" id="{00000000-0008-0000-0B00-000073938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E7">
  <autoFilter ref="B2:E7" xr:uid="{00000000-0009-0000-0100-000001000000}">
    <filterColumn colId="0">
      <filters>
        <filter val="Qtr1"/>
        <filter val="Qtr2"/>
        <filter val="Qtr3"/>
        <filter val="Qtr4"/>
      </filters>
    </filterColumn>
  </autoFilter>
  <tableColumns count="4">
    <tableColumn id="1" xr3:uid="{00000000-0010-0000-0000-000001000000}" name="Period"/>
    <tableColumn id="2" xr3:uid="{00000000-0010-0000-0000-000002000000}" name="Sales Target"/>
    <tableColumn id="3" xr3:uid="{00000000-0010-0000-0000-000003000000}" name=" Sales"/>
    <tableColumn id="4" xr3:uid="{00000000-0010-0000-0000-000004000000}" name="%CHANGE" dataDxfId="44"/>
  </tableColumns>
  <tableStyleInfo name="TableStyleLight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2:C11" headerRowDxfId="43" dataDxfId="42" totalsRowDxfId="41">
  <tableColumns count="2">
    <tableColumn id="1" xr3:uid="{00000000-0010-0000-0100-000001000000}" name="Region" dataDxfId="40"/>
    <tableColumn id="2" xr3:uid="{00000000-0010-0000-0100-000002000000}" name="Total Sales" dataDxfId="39" dataCellStyle="Currency"/>
  </tableColumns>
  <tableStyleInfo name="TableStyleLight1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B2:D19">
  <autoFilter ref="B2:D19" xr:uid="{00000000-0009-0000-0100-000003000000}">
    <filterColumn colId="0">
      <filters>
        <filter val="Apr"/>
        <filter val="Aug"/>
        <filter val="Dec"/>
        <filter val="Feb"/>
        <filter val="Jan"/>
        <filter val="Jul"/>
        <filter val="Jun"/>
        <filter val="Mar"/>
        <filter val="May"/>
        <filter val="Nov"/>
        <filter val="Oct"/>
        <filter val="Qtr1"/>
        <filter val="Qtr2"/>
        <filter val="Qtr3"/>
        <filter val="Qtr4"/>
        <filter val="Sep"/>
      </filters>
    </filterColumn>
  </autoFilter>
  <tableColumns count="3">
    <tableColumn id="1" xr3:uid="{00000000-0010-0000-0200-000001000000}" name="Period"/>
    <tableColumn id="2" xr3:uid="{00000000-0010-0000-0200-000002000000}" name="Sales Target"/>
    <tableColumn id="3" xr3:uid="{00000000-0010-0000-0200-000003000000}" name="Sales"/>
  </tableColumns>
  <tableStyleInfo name="TableStyleLight1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464C01-463E-4557-AB9D-B1C457630A49}" name="Table4" displayName="Table4" ref="B2:C13" totalsRowShown="0">
  <autoFilter ref="B2:C13" xr:uid="{43464C01-463E-4557-AB9D-B1C457630A49}"/>
  <tableColumns count="2">
    <tableColumn id="1" xr3:uid="{B83B6D5A-E789-4053-8A0E-59D35E33D214}" name="State"/>
    <tableColumn id="2" xr3:uid="{17410A1B-3C6A-4AED-8CED-362A7EF23721}" name="Sum of Sales" dataCellStyle="Currency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00D8B2-6F26-46A6-BFD4-F47AFB59C176}" name="Table5" displayName="Table5" ref="B3:E516" totalsRowShown="0" tableBorderDxfId="38">
  <autoFilter ref="B3:E516" xr:uid="{1800D8B2-6F26-46A6-BFD4-F47AFB59C176}">
    <filterColumn colId="1">
      <top10 val="10" filterVal="131032.1305"/>
    </filterColumn>
  </autoFilter>
  <sortState xmlns:xlrd2="http://schemas.microsoft.com/office/spreadsheetml/2017/richdata2" ref="B4:E289">
    <sortCondition descending="1" ref="E3:E516"/>
  </sortState>
  <tableColumns count="4">
    <tableColumn id="1" xr3:uid="{75E891A6-E932-4FE9-A617-83D47DA907FF}" name="City" dataDxfId="37"/>
    <tableColumn id="2" xr3:uid="{7FEE9758-A769-4B4E-A2C7-2487EEE5B01A}" name="Total Sales" dataDxfId="36"/>
    <tableColumn id="3" xr3:uid="{0B9161E2-6BF0-4FD9-90D8-377E4943FCB7}" name="Total Profit" dataDxfId="35"/>
    <tableColumn id="4" xr3:uid="{75592126-5430-48E5-AACD-B91437D8BC48}" name="Profit Margin" dataDxfId="34">
      <calculatedColumnFormula>D4/C4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21EE20-ECC3-4967-A643-4DB88E2112C4}" name="Table6" displayName="Table6" ref="B3:D7" totalsRowShown="0" headerRowDxfId="33" dataDxfId="31" headerRowBorderDxfId="32" tableBorderDxfId="30" totalsRowBorderDxfId="29">
  <autoFilter ref="B3:D7" xr:uid="{00000000-0009-0000-0000-000005000000}"/>
  <tableColumns count="3">
    <tableColumn id="1" xr3:uid="{221121BD-CA4B-4A99-9CB0-C5CD2462C2A8}" name="Category" dataDxfId="28"/>
    <tableColumn id="2" xr3:uid="{ECAD53EC-47C3-47B2-B213-4F3ADD345038}" name="Total Sales" dataDxfId="27"/>
    <tableColumn id="3" xr3:uid="{6BD87A35-D19A-4B12-84E5-E5AB8A011C67}" name="Total Profit" dataDxfId="26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9164DA-EE14-4EF6-9FB6-552C9236D27D}" name="Table7" displayName="Table7" ref="B3:F12" totalsRowShown="0" headerRowDxfId="25" dataDxfId="23" headerRowBorderDxfId="24" tableBorderDxfId="22">
  <autoFilter ref="B3:F12" xr:uid="{00000000-0009-0000-0000-000006000000}"/>
  <tableColumns count="5">
    <tableColumn id="1" xr3:uid="{4BB6D342-A78B-4C84-83B9-C9E4C9AAFFE3}" name="Region" dataDxfId="21"/>
    <tableColumn id="2" xr3:uid="{6D73F06B-8BBC-4CC5-8BDB-4F5EFD737035}" name="Delivery Truck" dataDxfId="20"/>
    <tableColumn id="3" xr3:uid="{0F58CCA5-E650-4824-9225-F82B24562F45}" name="Express Air" dataDxfId="19"/>
    <tableColumn id="4" xr3:uid="{214983AE-9488-44B4-B088-74DA94107C41}" name="Regular Air" dataDxfId="18"/>
    <tableColumn id="5" xr3:uid="{A05A53C3-919B-4612-A63C-468B2ECA3DF9}" name="Grand Total" dataDxfId="17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BD2AEC-F6BE-4EA9-97B4-B049E40CEDCA}" name="Table8" displayName="Table8" ref="B3:C11" totalsRowShown="0" headerRowDxfId="16">
  <autoFilter ref="B3:C11" xr:uid="{00000000-0009-0000-0000-000008000000}">
    <filterColumn colId="0">
      <filters>
        <filter val="Direct Mail"/>
        <filter val="Direct Sales"/>
        <filter val="Email Marketing"/>
        <filter val="Google Adwords"/>
        <filter val="SEO"/>
        <filter val="Social Media"/>
        <filter val="Tradeshows and Events"/>
      </filters>
    </filterColumn>
  </autoFilter>
  <tableColumns count="2">
    <tableColumn id="1" xr3:uid="{D42F8A9B-0287-46E3-9721-F1134A14145A}" name="  " dataDxfId="15"/>
    <tableColumn id="2" xr3:uid="{EE18A6C6-DB4F-41D8-B904-33E8E8AD4633}" name="Total Profit" dataDxfId="14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697FAC-8632-4433-87EC-AAB828CF9A20}" name="Table9" displayName="Table9" ref="B3:D11" totalsRowShown="0" headerRowDxfId="13" dataDxfId="12">
  <autoFilter ref="B3:D11" xr:uid="{00000000-0009-0000-0000-000009000000}"/>
  <tableColumns count="3">
    <tableColumn id="1" xr3:uid="{13CB1813-BA6F-48A7-A06E-B879C1F9E527}" name=" " dataDxfId="11"/>
    <tableColumn id="2" xr3:uid="{6AADD64D-267C-4C65-B692-37BE05F715E0}" name="Total Sales" dataDxfId="10"/>
    <tableColumn id="3" xr3:uid="{7213CDB1-2709-48A0-A5F8-8C4239596A6B}" name=" Sales Target" dataDxfId="9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E24A975-7B07-4D21-9FD4-DC6B9C703486}" name="Table10" displayName="Table10" ref="B3:D7" totalsRowShown="0" headerRowBorderDxfId="8" tableBorderDxfId="7" totalsRowBorderDxfId="6">
  <autoFilter ref="B3:D7" xr:uid="{00000000-0009-0000-0000-00000A000000}"/>
  <tableColumns count="3">
    <tableColumn id="1" xr3:uid="{1EDC7826-5B72-416C-A384-AF79B4526035}" name=" " dataDxfId="5"/>
    <tableColumn id="2" xr3:uid="{DDC1AF52-B0A3-4B12-866D-B657C661E7CD}" name="Sales" dataDxfId="4"/>
    <tableColumn id="3" xr3:uid="{6BB616E5-6B22-48C9-AF27-1CBAED2B3914}" name="Sales Target" dataDxfId="3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653C7D0-5703-4CA1-BC9C-0BFCF49F7CB3}" name="Table11" displayName="Table11" ref="A3:B7" totalsRowShown="0" headerRowDxfId="2">
  <autoFilter ref="A3:B7" xr:uid="{00000000-0009-0000-0000-00000B000000}"/>
  <tableColumns count="2">
    <tableColumn id="1" xr3:uid="{3B9F9FF3-6F0F-4C54-BEB3-C943ABB51C3B}" name="Caregory" dataDxfId="1"/>
    <tableColumn id="2" xr3:uid="{A61A4E2D-665D-457E-8373-1410326A8705}" name="Total Sal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8D08D"/>
    <pageSetUpPr fitToPage="1"/>
  </sheetPr>
  <dimension ref="B1:E998"/>
  <sheetViews>
    <sheetView showGridLines="0" workbookViewId="0">
      <selection activeCell="B1" sqref="B1"/>
    </sheetView>
  </sheetViews>
  <sheetFormatPr defaultColWidth="11.21875" defaultRowHeight="15" customHeight="1" x14ac:dyDescent="0.2"/>
  <cols>
    <col min="1" max="1" width="2.44140625" customWidth="1"/>
    <col min="2" max="2" width="16" customWidth="1"/>
    <col min="3" max="3" width="21.88671875" customWidth="1"/>
    <col min="4" max="4" width="15.77734375" customWidth="1"/>
    <col min="5" max="5" width="15.33203125" style="52" customWidth="1"/>
    <col min="6" max="6" width="16" customWidth="1"/>
    <col min="7" max="7" width="15" customWidth="1"/>
    <col min="8" max="8" width="20.33203125" customWidth="1"/>
    <col min="9" max="9" width="11.5546875" customWidth="1"/>
    <col min="10" max="10" width="12.44140625" customWidth="1"/>
    <col min="11" max="26" width="8.5546875" customWidth="1"/>
  </cols>
  <sheetData>
    <row r="1" spans="2:5" ht="36" customHeight="1" x14ac:dyDescent="0.2">
      <c r="B1" s="68" t="s">
        <v>0</v>
      </c>
    </row>
    <row r="2" spans="2:5" ht="15.75" customHeight="1" x14ac:dyDescent="0.2">
      <c r="B2" t="s">
        <v>1</v>
      </c>
      <c r="C2" t="s">
        <v>2</v>
      </c>
      <c r="D2" t="s">
        <v>3</v>
      </c>
      <c r="E2" s="52" t="s">
        <v>4</v>
      </c>
    </row>
    <row r="3" spans="2:5" ht="15.75" customHeight="1" x14ac:dyDescent="0.2">
      <c r="B3" t="s">
        <v>5</v>
      </c>
      <c r="C3" s="7">
        <v>3760457.9896999998</v>
      </c>
      <c r="D3" s="7">
        <v>3837693.9975000001</v>
      </c>
      <c r="E3" s="53">
        <f t="shared" ref="E3:E6" si="0">D3/C3</f>
        <v>1.0205389896686925</v>
      </c>
    </row>
    <row r="4" spans="2:5" ht="15.75" customHeight="1" x14ac:dyDescent="0.2">
      <c r="B4" t="s">
        <v>6</v>
      </c>
      <c r="C4" s="7">
        <v>3196487.6625000001</v>
      </c>
      <c r="D4" s="7">
        <v>3331327.9245000002</v>
      </c>
      <c r="E4" s="53">
        <f t="shared" si="0"/>
        <v>1.042183883135823</v>
      </c>
    </row>
    <row r="5" spans="2:5" ht="15.75" customHeight="1" x14ac:dyDescent="0.2">
      <c r="B5" t="s">
        <v>7</v>
      </c>
      <c r="C5" s="7">
        <v>3581312.8577000001</v>
      </c>
      <c r="D5" s="7">
        <v>3527374.4904999998</v>
      </c>
      <c r="E5" s="53">
        <f t="shared" si="0"/>
        <v>0.98493894017551975</v>
      </c>
    </row>
    <row r="6" spans="2:5" ht="15.75" customHeight="1" x14ac:dyDescent="0.2">
      <c r="B6" t="s">
        <v>8</v>
      </c>
      <c r="C6" s="7">
        <v>4091790.8250000002</v>
      </c>
      <c r="D6" s="7">
        <v>3962665.7829999998</v>
      </c>
      <c r="E6" s="53">
        <f t="shared" si="0"/>
        <v>0.96844290250345333</v>
      </c>
    </row>
    <row r="7" spans="2:5" ht="15.75" hidden="1" customHeight="1" x14ac:dyDescent="0.2">
      <c r="B7" t="s">
        <v>9</v>
      </c>
      <c r="C7">
        <v>14630049.334899999</v>
      </c>
      <c r="D7">
        <v>14659062.195499999</v>
      </c>
    </row>
    <row r="8" spans="2:5" ht="15.75" customHeight="1" x14ac:dyDescent="0.2"/>
    <row r="9" spans="2:5" ht="15.75" customHeight="1" x14ac:dyDescent="0.2"/>
    <row r="10" spans="2:5" ht="15.75" customHeight="1" x14ac:dyDescent="0.2"/>
    <row r="11" spans="2:5" ht="15.75" customHeight="1" x14ac:dyDescent="0.2"/>
    <row r="12" spans="2:5" ht="15.75" customHeight="1" x14ac:dyDescent="0.2"/>
    <row r="13" spans="2:5" ht="15.75" customHeight="1" x14ac:dyDescent="0.2"/>
    <row r="14" spans="2:5" ht="15.75" customHeight="1" x14ac:dyDescent="0.2"/>
    <row r="15" spans="2:5" ht="15.75" customHeight="1" x14ac:dyDescent="0.2"/>
    <row r="16" spans="2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dataValidations count="1">
    <dataValidation type="custom" allowBlank="1" showDropDown="1" sqref="C3:E6" xr:uid="{00000000-0002-0000-0000-000000000000}">
      <formula1>AND(ISNUMBER(C3),(NOT(OR(NOT(ISERROR(DATEVALUE(C3))), AND(ISNUMBER(C3), LEFT(CELL("format", C3))="D")))))</formula1>
    </dataValidation>
  </dataValidations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8D08D"/>
    <pageSetUpPr fitToPage="1"/>
  </sheetPr>
  <dimension ref="B1:C999"/>
  <sheetViews>
    <sheetView showGridLines="0" workbookViewId="0">
      <selection activeCell="B1" sqref="B1"/>
    </sheetView>
  </sheetViews>
  <sheetFormatPr defaultColWidth="11.21875" defaultRowHeight="15" customHeight="1" x14ac:dyDescent="0.2"/>
  <cols>
    <col min="1" max="1" width="2.5546875" customWidth="1"/>
    <col min="2" max="2" width="15.5546875" customWidth="1"/>
    <col min="3" max="3" width="22.77734375" customWidth="1"/>
    <col min="4" max="26" width="8.5546875" customWidth="1"/>
  </cols>
  <sheetData>
    <row r="1" spans="2:3" ht="28.5" customHeight="1" x14ac:dyDescent="0.2">
      <c r="B1" s="68" t="s">
        <v>10</v>
      </c>
    </row>
    <row r="2" spans="2:3" x14ac:dyDescent="0.2">
      <c r="B2" s="9" t="s">
        <v>11</v>
      </c>
      <c r="C2" s="10" t="s">
        <v>12</v>
      </c>
    </row>
    <row r="3" spans="2:3" x14ac:dyDescent="0.2">
      <c r="B3" s="11" t="s">
        <v>13</v>
      </c>
      <c r="C3" s="14">
        <v>3380170.2315000002</v>
      </c>
    </row>
    <row r="4" spans="2:3" x14ac:dyDescent="0.2">
      <c r="B4" s="12" t="s">
        <v>14</v>
      </c>
      <c r="C4" s="15">
        <v>2981803.8484999998</v>
      </c>
    </row>
    <row r="5" spans="2:3" x14ac:dyDescent="0.2">
      <c r="B5" s="11" t="s">
        <v>15</v>
      </c>
      <c r="C5" s="14">
        <v>2577586.16</v>
      </c>
    </row>
    <row r="6" spans="2:3" x14ac:dyDescent="0.2">
      <c r="B6" s="12" t="s">
        <v>16</v>
      </c>
      <c r="C6" s="15">
        <v>2203313.6244999999</v>
      </c>
    </row>
    <row r="7" spans="2:3" x14ac:dyDescent="0.2">
      <c r="B7" s="11" t="s">
        <v>17</v>
      </c>
      <c r="C7" s="14">
        <v>1426835.1370000001</v>
      </c>
    </row>
    <row r="8" spans="2:3" x14ac:dyDescent="0.2">
      <c r="B8" s="12" t="s">
        <v>18</v>
      </c>
      <c r="C8" s="15">
        <v>1153849.872</v>
      </c>
    </row>
    <row r="9" spans="2:3" x14ac:dyDescent="0.2">
      <c r="B9" s="11" t="s">
        <v>19</v>
      </c>
      <c r="C9" s="14">
        <v>616311.52949999995</v>
      </c>
    </row>
    <row r="10" spans="2:3" x14ac:dyDescent="0.2">
      <c r="B10" s="12" t="s">
        <v>20</v>
      </c>
      <c r="C10" s="15">
        <v>319191.79249999998</v>
      </c>
    </row>
    <row r="11" spans="2:3" x14ac:dyDescent="0.2">
      <c r="B11" s="13" t="s">
        <v>9</v>
      </c>
      <c r="C11" s="16">
        <f ca="1">SUM(Table2[Total Sales])</f>
        <v>14659062.199999999</v>
      </c>
    </row>
    <row r="13" spans="2:3" x14ac:dyDescent="0.2">
      <c r="B13" s="2"/>
      <c r="C13" s="2"/>
    </row>
    <row r="14" spans="2:3" x14ac:dyDescent="0.2">
      <c r="B14" s="3">
        <v>3380170.2315000002</v>
      </c>
      <c r="C14" s="4">
        <f t="shared" ref="C14:C21" si="0">B14/SUM($B$14:$B$21)</f>
        <v>0.23058570776360002</v>
      </c>
    </row>
    <row r="15" spans="2:3" x14ac:dyDescent="0.2">
      <c r="B15" s="3">
        <v>2981803.8484999998</v>
      </c>
      <c r="C15" s="4">
        <f t="shared" si="0"/>
        <v>0.20341027336764733</v>
      </c>
    </row>
    <row r="16" spans="2:3" x14ac:dyDescent="0.2">
      <c r="B16" s="3">
        <v>2577586.16</v>
      </c>
      <c r="C16" s="4">
        <f t="shared" si="0"/>
        <v>0.175835679365032</v>
      </c>
    </row>
    <row r="17" spans="2:3" x14ac:dyDescent="0.2">
      <c r="B17" s="3">
        <v>2203313.6244999999</v>
      </c>
      <c r="C17" s="4">
        <f t="shared" si="0"/>
        <v>0.15030385949084568</v>
      </c>
    </row>
    <row r="18" spans="2:3" x14ac:dyDescent="0.2">
      <c r="B18" s="3">
        <v>1426835.1370000001</v>
      </c>
      <c r="C18" s="4">
        <f t="shared" si="0"/>
        <v>9.7334680620838485E-2</v>
      </c>
    </row>
    <row r="19" spans="2:3" x14ac:dyDescent="0.2">
      <c r="B19" s="3">
        <v>1153849.872</v>
      </c>
      <c r="C19" s="4">
        <f t="shared" si="0"/>
        <v>7.8712393508651987E-2</v>
      </c>
    </row>
    <row r="20" spans="2:3" ht="15.75" customHeight="1" x14ac:dyDescent="0.2">
      <c r="B20" s="3">
        <v>616311.52949999995</v>
      </c>
      <c r="C20" s="4">
        <f t="shared" si="0"/>
        <v>4.2043039403243242E-2</v>
      </c>
    </row>
    <row r="21" spans="2:3" ht="15.75" customHeight="1" x14ac:dyDescent="0.2">
      <c r="B21" s="3">
        <v>319191.79249999998</v>
      </c>
      <c r="C21" s="4">
        <f t="shared" si="0"/>
        <v>2.177436648014118E-2</v>
      </c>
    </row>
    <row r="22" spans="2:3" ht="15.75" customHeight="1" x14ac:dyDescent="0.2">
      <c r="B22" s="3">
        <f t="shared" ref="B22:C22" si="1">SUM(B14:B21)</f>
        <v>14659062.195500001</v>
      </c>
      <c r="C22" s="4">
        <f t="shared" si="1"/>
        <v>1</v>
      </c>
    </row>
    <row r="23" spans="2:3" ht="15.75" customHeight="1" x14ac:dyDescent="0.2">
      <c r="B23" s="2"/>
      <c r="C23" s="2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dataValidations count="1">
    <dataValidation type="custom" allowBlank="1" showDropDown="1" sqref="C3:C10" xr:uid="{00000000-0002-0000-0100-000000000000}">
      <formula1>AND(ISNUMBER(C3),(NOT(OR(NOT(ISERROR(DATEVALUE(C3))), AND(ISNUMBER(C3), LEFT(CELL("format", C3))="D")))))</formula1>
    </dataValidation>
  </dataValidations>
  <pageMargins left="0.7" right="0.7" top="0.75" bottom="0.75" header="0" footer="0"/>
  <pageSetup paperSize="5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8D08D"/>
  </sheetPr>
  <dimension ref="B1:D1000"/>
  <sheetViews>
    <sheetView showGridLines="0" workbookViewId="0">
      <selection activeCell="B1" sqref="B1"/>
    </sheetView>
  </sheetViews>
  <sheetFormatPr defaultColWidth="11.21875" defaultRowHeight="15" customHeight="1" x14ac:dyDescent="0.2"/>
  <cols>
    <col min="1" max="1" width="2.44140625" customWidth="1"/>
    <col min="2" max="2" width="16" customWidth="1"/>
    <col min="3" max="3" width="16.44140625" customWidth="1"/>
    <col min="4" max="4" width="17.109375" customWidth="1"/>
    <col min="5" max="5" width="10.88671875" customWidth="1"/>
    <col min="6" max="6" width="16" customWidth="1"/>
    <col min="7" max="7" width="15" customWidth="1"/>
    <col min="8" max="8" width="20.33203125" customWidth="1"/>
    <col min="9" max="9" width="11.5546875" customWidth="1"/>
    <col min="10" max="10" width="12.44140625" customWidth="1"/>
    <col min="11" max="26" width="8.5546875" customWidth="1"/>
  </cols>
  <sheetData>
    <row r="1" spans="2:4" ht="45" customHeight="1" x14ac:dyDescent="0.2">
      <c r="B1" s="68" t="s">
        <v>21</v>
      </c>
    </row>
    <row r="2" spans="2:4" ht="15.75" customHeight="1" x14ac:dyDescent="0.2">
      <c r="B2" t="s">
        <v>1</v>
      </c>
      <c r="C2" t="s">
        <v>2</v>
      </c>
      <c r="D2" t="s">
        <v>22</v>
      </c>
    </row>
    <row r="3" spans="2:4" ht="15.75" customHeight="1" x14ac:dyDescent="0.2">
      <c r="B3" t="s">
        <v>5</v>
      </c>
      <c r="C3" s="18"/>
      <c r="D3" s="18"/>
    </row>
    <row r="4" spans="2:4" ht="15.75" customHeight="1" x14ac:dyDescent="0.2">
      <c r="B4" t="s">
        <v>23</v>
      </c>
      <c r="C4" s="18">
        <v>1428240.8293999999</v>
      </c>
      <c r="D4" s="18">
        <v>1390859.1740000001</v>
      </c>
    </row>
    <row r="5" spans="2:4" ht="15.75" customHeight="1" x14ac:dyDescent="0.2">
      <c r="B5" t="s">
        <v>24</v>
      </c>
      <c r="C5" s="18">
        <v>1015890.6676</v>
      </c>
      <c r="D5" s="18">
        <v>1163270.335</v>
      </c>
    </row>
    <row r="6" spans="2:4" ht="15.75" customHeight="1" x14ac:dyDescent="0.2">
      <c r="B6" t="s">
        <v>25</v>
      </c>
      <c r="C6" s="18">
        <v>1316326.4927000001</v>
      </c>
      <c r="D6" s="18">
        <v>1283564.4885</v>
      </c>
    </row>
    <row r="7" spans="2:4" ht="15.75" customHeight="1" x14ac:dyDescent="0.2">
      <c r="B7" t="s">
        <v>6</v>
      </c>
      <c r="C7" s="18"/>
      <c r="D7" s="18"/>
    </row>
    <row r="8" spans="2:4" ht="15.75" customHeight="1" x14ac:dyDescent="0.2">
      <c r="B8" t="s">
        <v>26</v>
      </c>
      <c r="C8" s="18">
        <v>1047494.4716</v>
      </c>
      <c r="D8" s="18">
        <v>1147771.334</v>
      </c>
    </row>
    <row r="9" spans="2:4" ht="15.75" customHeight="1" x14ac:dyDescent="0.2">
      <c r="B9" t="s">
        <v>27</v>
      </c>
      <c r="C9" s="18">
        <v>1118403.6033000001</v>
      </c>
      <c r="D9" s="18">
        <v>1168209.1555000001</v>
      </c>
    </row>
    <row r="10" spans="2:4" ht="15.75" customHeight="1" x14ac:dyDescent="0.2">
      <c r="B10" t="s">
        <v>28</v>
      </c>
      <c r="C10" s="18">
        <v>1030589.5876</v>
      </c>
      <c r="D10" s="18">
        <v>1015347.4350000001</v>
      </c>
    </row>
    <row r="11" spans="2:4" ht="15.75" customHeight="1" x14ac:dyDescent="0.2">
      <c r="B11" t="s">
        <v>7</v>
      </c>
      <c r="C11" s="18"/>
      <c r="D11" s="18"/>
    </row>
    <row r="12" spans="2:4" ht="15.75" customHeight="1" x14ac:dyDescent="0.2">
      <c r="B12" t="s">
        <v>29</v>
      </c>
      <c r="C12" s="18">
        <v>1230049.2079</v>
      </c>
      <c r="D12" s="18">
        <v>1114256.7524999999</v>
      </c>
    </row>
    <row r="13" spans="2:4" ht="15.75" customHeight="1" x14ac:dyDescent="0.2">
      <c r="B13" t="s">
        <v>30</v>
      </c>
      <c r="C13" s="18">
        <v>1061142.1791999999</v>
      </c>
      <c r="D13" s="18">
        <v>1109020.5319999999</v>
      </c>
    </row>
    <row r="14" spans="2:4" ht="15.75" customHeight="1" x14ac:dyDescent="0.2">
      <c r="B14" t="s">
        <v>31</v>
      </c>
      <c r="C14" s="18">
        <v>1290121.4705999999</v>
      </c>
      <c r="D14" s="18">
        <v>1304097.206</v>
      </c>
    </row>
    <row r="15" spans="2:4" ht="15.75" customHeight="1" x14ac:dyDescent="0.2">
      <c r="B15" t="s">
        <v>8</v>
      </c>
      <c r="C15" s="18"/>
      <c r="D15" s="18"/>
    </row>
    <row r="16" spans="2:4" ht="15.75" customHeight="1" x14ac:dyDescent="0.2">
      <c r="B16" t="s">
        <v>32</v>
      </c>
      <c r="C16" s="18">
        <v>1320866.0316999999</v>
      </c>
      <c r="D16" s="18">
        <v>1367172.986</v>
      </c>
    </row>
    <row r="17" spans="2:4" ht="15.75" customHeight="1" x14ac:dyDescent="0.2">
      <c r="B17" t="s">
        <v>33</v>
      </c>
      <c r="C17" s="18">
        <v>1265764.2239000001</v>
      </c>
      <c r="D17" s="18">
        <v>1153443.3495</v>
      </c>
    </row>
    <row r="18" spans="2:4" ht="15.75" customHeight="1" x14ac:dyDescent="0.2">
      <c r="B18" t="s">
        <v>34</v>
      </c>
      <c r="C18" s="18">
        <v>1505160.5693999999</v>
      </c>
      <c r="D18" s="18">
        <v>1442049.4475</v>
      </c>
    </row>
    <row r="19" spans="2:4" ht="15.75" hidden="1" customHeight="1" x14ac:dyDescent="0.2">
      <c r="B19" t="s">
        <v>9</v>
      </c>
      <c r="C19">
        <v>14630049.334899999</v>
      </c>
      <c r="D19">
        <v>14659062.195499999</v>
      </c>
    </row>
    <row r="20" spans="2:4" ht="15.75" customHeight="1" x14ac:dyDescent="0.2"/>
    <row r="21" spans="2:4" ht="15.75" customHeight="1" x14ac:dyDescent="0.2"/>
    <row r="22" spans="2:4" ht="15.75" customHeight="1" x14ac:dyDescent="0.2"/>
    <row r="23" spans="2:4" ht="15.75" customHeight="1" x14ac:dyDescent="0.2"/>
    <row r="24" spans="2:4" ht="15.75" customHeight="1" x14ac:dyDescent="0.2"/>
    <row r="25" spans="2:4" ht="15.75" customHeight="1" x14ac:dyDescent="0.2"/>
    <row r="26" spans="2:4" ht="15.75" customHeight="1" x14ac:dyDescent="0.2"/>
    <row r="27" spans="2:4" ht="15.75" customHeight="1" x14ac:dyDescent="0.2"/>
    <row r="28" spans="2:4" ht="15.75" customHeight="1" x14ac:dyDescent="0.2"/>
    <row r="29" spans="2:4" ht="15.75" customHeight="1" x14ac:dyDescent="0.2"/>
    <row r="30" spans="2:4" ht="15.75" customHeight="1" x14ac:dyDescent="0.2"/>
    <row r="31" spans="2:4" ht="15.75" customHeight="1" x14ac:dyDescent="0.2"/>
    <row r="32" spans="2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custom" allowBlank="1" showDropDown="1" sqref="C3:D19" xr:uid="{00000000-0002-0000-0200-000000000000}">
      <formula1>AND(ISNUMBER(C3),(NOT(OR(NOT(ISERROR(DATEVALUE(C3))), AND(ISNUMBER(C3), LEFT(CELL("format", C3))="D")))))</formula1>
    </dataValidation>
  </dataValidations>
  <pageMargins left="0.25" right="0.25" top="0.75" bottom="0.75" header="0.3" footer="0.3"/>
  <pageSetup paperSize="5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8D08D"/>
  </sheetPr>
  <dimension ref="A1:Z1000"/>
  <sheetViews>
    <sheetView showGridLines="0" workbookViewId="0">
      <selection activeCell="B1" sqref="B1"/>
    </sheetView>
  </sheetViews>
  <sheetFormatPr defaultColWidth="11.21875" defaultRowHeight="15" customHeight="1" x14ac:dyDescent="0.2"/>
  <cols>
    <col min="1" max="1" width="2.109375" customWidth="1"/>
    <col min="2" max="2" width="17.44140625" customWidth="1"/>
    <col min="3" max="3" width="20.6640625" customWidth="1"/>
    <col min="4" max="6" width="11.5546875" customWidth="1"/>
    <col min="7" max="7" width="14.33203125" customWidth="1"/>
    <col min="8" max="9" width="11.5546875" customWidth="1"/>
    <col min="10" max="10" width="12.44140625" customWidth="1"/>
    <col min="11" max="26" width="8.5546875" customWidth="1"/>
  </cols>
  <sheetData>
    <row r="1" spans="1:26" s="33" customFormat="1" ht="30.75" customHeight="1" x14ac:dyDescent="0.2">
      <c r="B1" s="68" t="s">
        <v>35</v>
      </c>
    </row>
    <row r="2" spans="1:26" ht="15.75" customHeight="1" x14ac:dyDescent="0.2">
      <c r="B2" t="s">
        <v>36</v>
      </c>
      <c r="C2" t="s">
        <v>37</v>
      </c>
    </row>
    <row r="3" spans="1:26" ht="15.75" customHeight="1" x14ac:dyDescent="0.2">
      <c r="B3" t="s">
        <v>38</v>
      </c>
      <c r="C3" s="18">
        <v>407396.38099999999</v>
      </c>
    </row>
    <row r="4" spans="1:26" ht="15.75" customHeight="1" x14ac:dyDescent="0.2">
      <c r="B4" t="s">
        <v>39</v>
      </c>
      <c r="C4" s="18">
        <v>393305.73550000001</v>
      </c>
    </row>
    <row r="5" spans="1:26" ht="15.75" customHeight="1" x14ac:dyDescent="0.2">
      <c r="B5" t="s">
        <v>40</v>
      </c>
      <c r="C5" s="18">
        <v>385506.6385</v>
      </c>
    </row>
    <row r="6" spans="1:26" ht="15.75" customHeight="1" x14ac:dyDescent="0.2">
      <c r="B6" t="s">
        <v>41</v>
      </c>
      <c r="C6" s="18">
        <v>379056.77549999999</v>
      </c>
    </row>
    <row r="7" spans="1:26" ht="15.75" customHeight="1" x14ac:dyDescent="0.2">
      <c r="B7" t="s">
        <v>42</v>
      </c>
      <c r="C7" s="18">
        <v>373175.2525</v>
      </c>
    </row>
    <row r="8" spans="1:26" ht="15.75" customHeight="1" x14ac:dyDescent="0.2">
      <c r="B8" t="s">
        <v>43</v>
      </c>
      <c r="C8" s="18">
        <v>363481.56449999998</v>
      </c>
    </row>
    <row r="9" spans="1:26" ht="15.75" customHeight="1" x14ac:dyDescent="0.2">
      <c r="B9" t="s">
        <v>44</v>
      </c>
      <c r="C9" s="18">
        <v>354152.54450000002</v>
      </c>
    </row>
    <row r="10" spans="1:26" ht="15.75" customHeight="1" x14ac:dyDescent="0.2">
      <c r="B10" t="s">
        <v>45</v>
      </c>
      <c r="C10" s="18">
        <v>353454.11249999999</v>
      </c>
    </row>
    <row r="11" spans="1:26" ht="15.75" customHeight="1" x14ac:dyDescent="0.2">
      <c r="B11" t="s">
        <v>46</v>
      </c>
      <c r="C11" s="18">
        <v>337372.54149999999</v>
      </c>
    </row>
    <row r="12" spans="1:26" ht="15.75" customHeight="1" x14ac:dyDescent="0.2">
      <c r="B12" t="s">
        <v>47</v>
      </c>
      <c r="C12" s="18">
        <v>334175.98300000001</v>
      </c>
    </row>
    <row r="13" spans="1:26" ht="15.75" customHeight="1" x14ac:dyDescent="0.25">
      <c r="A13" s="1"/>
      <c r="B13" t="s">
        <v>9</v>
      </c>
      <c r="C13" s="19">
        <f>SUM('Sales by State'!$C$3:$C$12)</f>
        <v>3681077.5289999992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5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X1001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ColWidth="11.21875" defaultRowHeight="15" customHeight="1" x14ac:dyDescent="0.2"/>
  <cols>
    <col min="1" max="1" width="8.88671875" style="22" customWidth="1"/>
    <col min="2" max="2" width="16.6640625" style="22" customWidth="1"/>
    <col min="3" max="3" width="11.109375" style="22" customWidth="1"/>
    <col min="4" max="4" width="27.77734375" style="22" customWidth="1"/>
    <col min="5" max="5" width="30.88671875" style="22" customWidth="1"/>
    <col min="6" max="6" width="8.88671875" style="22" customWidth="1"/>
    <col min="7" max="24" width="8.5546875" style="22" customWidth="1"/>
    <col min="25" max="16384" width="11.21875" style="22"/>
  </cols>
  <sheetData>
    <row r="1" spans="1:24" ht="26.25" customHeight="1" x14ac:dyDescent="0.2">
      <c r="A1" s="20"/>
      <c r="B1" s="68" t="s">
        <v>48</v>
      </c>
      <c r="C1" s="21"/>
      <c r="D1" s="21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7" customHeight="1" x14ac:dyDescent="0.2">
      <c r="A2" s="20"/>
      <c r="B2" s="54" t="s">
        <v>595</v>
      </c>
      <c r="C2" s="21"/>
      <c r="D2" s="2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15.75" customHeight="1" x14ac:dyDescent="0.2">
      <c r="A3" s="20"/>
      <c r="B3" s="31" t="s">
        <v>49</v>
      </c>
      <c r="C3" s="23" t="s">
        <v>12</v>
      </c>
      <c r="D3" s="23" t="s">
        <v>50</v>
      </c>
      <c r="E3" s="24" t="s">
        <v>51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15.75" customHeight="1" x14ac:dyDescent="0.2">
      <c r="A4" s="20"/>
      <c r="B4" s="32" t="s">
        <v>165</v>
      </c>
      <c r="C4" s="26">
        <v>131032.1305</v>
      </c>
      <c r="D4" s="27">
        <v>25236.004300000001</v>
      </c>
      <c r="E4" s="28">
        <f t="shared" ref="E4:E67" si="0">D4/C4</f>
        <v>0.19259401647292915</v>
      </c>
      <c r="F4" s="29">
        <f t="array" ref="F4:F11">D4:D11/C4:C11</f>
        <v>0.19259401647292915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spans="1:24" ht="15.75" customHeight="1" x14ac:dyDescent="0.2">
      <c r="A5" s="20"/>
      <c r="B5" s="32" t="s">
        <v>217</v>
      </c>
      <c r="C5" s="26">
        <v>319191.79249999998</v>
      </c>
      <c r="D5" s="27">
        <v>50208.541299999997</v>
      </c>
      <c r="E5" s="28">
        <f t="shared" si="0"/>
        <v>0.15729897346906249</v>
      </c>
      <c r="F5" s="29">
        <v>0.15729897346906249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24" ht="15.75" customHeight="1" x14ac:dyDescent="0.2">
      <c r="A6" s="20"/>
      <c r="B6" s="32" t="s">
        <v>224</v>
      </c>
      <c r="C6" s="26">
        <v>134485.2585</v>
      </c>
      <c r="D6" s="27">
        <v>20377.074199999999</v>
      </c>
      <c r="E6" s="28">
        <f t="shared" si="0"/>
        <v>0.15151901723117109</v>
      </c>
      <c r="F6" s="29">
        <v>0.15151901723117109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spans="1:24" ht="15.75" hidden="1" customHeight="1" x14ac:dyDescent="0.2">
      <c r="A7" s="20"/>
      <c r="B7" s="32" t="s">
        <v>78</v>
      </c>
      <c r="C7" s="26">
        <v>120152.393</v>
      </c>
      <c r="D7" s="27">
        <v>33489.531999999999</v>
      </c>
      <c r="E7" s="28">
        <f t="shared" si="0"/>
        <v>0.27872546824764449</v>
      </c>
      <c r="F7" s="29">
        <v>0.27872546824764449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spans="1:24" ht="15.75" hidden="1" customHeight="1" x14ac:dyDescent="0.2">
      <c r="A8" s="20"/>
      <c r="B8" s="32" t="s">
        <v>103</v>
      </c>
      <c r="C8" s="26">
        <v>115576.96249999999</v>
      </c>
      <c r="D8" s="27">
        <v>28684.908500000001</v>
      </c>
      <c r="E8" s="28">
        <f t="shared" si="0"/>
        <v>0.24818880752295253</v>
      </c>
      <c r="F8" s="29">
        <v>0.24818880752295253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spans="1:24" ht="15.75" customHeight="1" x14ac:dyDescent="0.2">
      <c r="A9" s="20"/>
      <c r="B9" s="32" t="s">
        <v>248</v>
      </c>
      <c r="C9" s="26">
        <v>276181.7855</v>
      </c>
      <c r="D9" s="27">
        <v>37027.718000000001</v>
      </c>
      <c r="E9" s="28">
        <f t="shared" si="0"/>
        <v>0.13407009420612209</v>
      </c>
      <c r="F9" s="29">
        <v>0.13407009420612209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spans="1:24" ht="15.75" customHeight="1" x14ac:dyDescent="0.2">
      <c r="A10" s="20"/>
      <c r="B10" s="32" t="s">
        <v>267</v>
      </c>
      <c r="C10" s="26">
        <v>385506.6385</v>
      </c>
      <c r="D10" s="27">
        <v>45523.691299999999</v>
      </c>
      <c r="E10" s="28">
        <f t="shared" si="0"/>
        <v>0.11808795686925634</v>
      </c>
      <c r="F10" s="29">
        <v>0.11808795686925634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spans="1:24" ht="15.75" hidden="1" customHeight="1" x14ac:dyDescent="0.2">
      <c r="A11" s="20"/>
      <c r="B11" s="32" t="s">
        <v>151</v>
      </c>
      <c r="C11" s="26">
        <v>114773.791</v>
      </c>
      <c r="D11" s="27">
        <v>23959.190200000001</v>
      </c>
      <c r="E11" s="28">
        <f t="shared" si="0"/>
        <v>0.2087514056236062</v>
      </c>
      <c r="F11" s="29">
        <v>0.2087514056236062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spans="1:24" ht="15.75" hidden="1" customHeight="1" x14ac:dyDescent="0.2">
      <c r="A12" s="20"/>
      <c r="B12" s="32" t="s">
        <v>73</v>
      </c>
      <c r="C12" s="26">
        <v>82085.851500000004</v>
      </c>
      <c r="D12" s="27">
        <v>23411.906500000001</v>
      </c>
      <c r="E12" s="28">
        <f t="shared" si="0"/>
        <v>0.28521244614243907</v>
      </c>
      <c r="F12" s="3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4" ht="15.75" customHeight="1" x14ac:dyDescent="0.2">
      <c r="A13" s="20"/>
      <c r="B13" s="32" t="s">
        <v>317</v>
      </c>
      <c r="C13" s="26">
        <v>324376.86499999999</v>
      </c>
      <c r="D13" s="27">
        <v>27558.797699999999</v>
      </c>
      <c r="E13" s="28">
        <f t="shared" si="0"/>
        <v>8.4959196149824057E-2</v>
      </c>
      <c r="F13" s="3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spans="1:24" ht="15.75" hidden="1" customHeight="1" x14ac:dyDescent="0.2">
      <c r="A14" s="20"/>
      <c r="B14" s="32" t="s">
        <v>117</v>
      </c>
      <c r="C14" s="26">
        <v>84769.252500000002</v>
      </c>
      <c r="D14" s="27">
        <v>19833.857499999998</v>
      </c>
      <c r="E14" s="28">
        <f t="shared" si="0"/>
        <v>0.23397466551919868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spans="1:24" ht="15.75" hidden="1" customHeight="1" x14ac:dyDescent="0.2">
      <c r="A15" s="20"/>
      <c r="B15" s="32" t="s">
        <v>98</v>
      </c>
      <c r="C15" s="26">
        <v>68151.583499999993</v>
      </c>
      <c r="D15" s="27">
        <v>17290.662400000001</v>
      </c>
      <c r="E15" s="28">
        <f t="shared" si="0"/>
        <v>0.2537088870429548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spans="1:24" ht="15.75" hidden="1" customHeight="1" x14ac:dyDescent="0.2">
      <c r="A16" s="20"/>
      <c r="B16" s="32" t="s">
        <v>175</v>
      </c>
      <c r="C16" s="26">
        <v>91118.499500000005</v>
      </c>
      <c r="D16" s="27">
        <v>16983.485199999999</v>
      </c>
      <c r="E16" s="28">
        <f t="shared" si="0"/>
        <v>0.18638899118394722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spans="1:24" ht="15.75" hidden="1" customHeight="1" x14ac:dyDescent="0.2">
      <c r="A17" s="20"/>
      <c r="B17" s="32" t="s">
        <v>93</v>
      </c>
      <c r="C17" s="26">
        <v>65712.563500000004</v>
      </c>
      <c r="D17" s="27">
        <v>16887.504000000001</v>
      </c>
      <c r="E17" s="28">
        <f t="shared" si="0"/>
        <v>0.25699049162798221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5.75" hidden="1" customHeight="1" x14ac:dyDescent="0.2">
      <c r="A18" s="20"/>
      <c r="B18" s="32" t="s">
        <v>128</v>
      </c>
      <c r="C18" s="26">
        <v>72503.202999999994</v>
      </c>
      <c r="D18" s="27">
        <v>16308.9169</v>
      </c>
      <c r="E18" s="28">
        <f t="shared" si="0"/>
        <v>0.22494064020868157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5.75" hidden="1" customHeight="1" x14ac:dyDescent="0.2">
      <c r="A19" s="20"/>
      <c r="B19" s="32" t="s">
        <v>207</v>
      </c>
      <c r="C19" s="26">
        <v>96481.798999999999</v>
      </c>
      <c r="D19" s="27">
        <v>15887.1412</v>
      </c>
      <c r="E19" s="28">
        <f t="shared" si="0"/>
        <v>0.16466464519385673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5.75" customHeight="1" x14ac:dyDescent="0.2">
      <c r="A20" s="20"/>
      <c r="B20" s="32" t="s">
        <v>343</v>
      </c>
      <c r="C20" s="26">
        <v>155822.2665</v>
      </c>
      <c r="D20" s="27">
        <v>10204.480600000001</v>
      </c>
      <c r="E20" s="28">
        <f t="shared" si="0"/>
        <v>6.5487948732923879E-2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5.75" hidden="1" customHeight="1" x14ac:dyDescent="0.2">
      <c r="A21" s="20"/>
      <c r="B21" s="32" t="s">
        <v>124</v>
      </c>
      <c r="C21" s="26">
        <v>68754.101500000004</v>
      </c>
      <c r="D21" s="27">
        <v>15725.842500000001</v>
      </c>
      <c r="E21" s="28">
        <f t="shared" si="0"/>
        <v>0.2287258819024782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5.75" hidden="1" customHeight="1" x14ac:dyDescent="0.2">
      <c r="A22" s="20"/>
      <c r="B22" s="32" t="s">
        <v>79</v>
      </c>
      <c r="C22" s="26">
        <v>55661.7595</v>
      </c>
      <c r="D22" s="27">
        <v>15473.835499999999</v>
      </c>
      <c r="E22" s="28">
        <f t="shared" si="0"/>
        <v>0.27799759905182297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5.75" hidden="1" customHeight="1" x14ac:dyDescent="0.2">
      <c r="A23" s="20"/>
      <c r="B23" s="32" t="s">
        <v>145</v>
      </c>
      <c r="C23" s="26">
        <v>72377.378500000006</v>
      </c>
      <c r="D23" s="27">
        <v>15375.958000000001</v>
      </c>
      <c r="E23" s="28">
        <f t="shared" si="0"/>
        <v>0.21244148819233621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5.75" hidden="1" customHeight="1" x14ac:dyDescent="0.2">
      <c r="A24" s="20"/>
      <c r="B24" s="32" t="s">
        <v>201</v>
      </c>
      <c r="C24" s="26">
        <v>88797.617499999993</v>
      </c>
      <c r="D24" s="27">
        <v>15106.433999999999</v>
      </c>
      <c r="E24" s="28">
        <f t="shared" si="0"/>
        <v>0.17012206436732383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5.75" hidden="1" customHeight="1" x14ac:dyDescent="0.2">
      <c r="A25" s="20"/>
      <c r="B25" s="32" t="s">
        <v>183</v>
      </c>
      <c r="C25" s="26">
        <v>82733.131999999998</v>
      </c>
      <c r="D25" s="27">
        <v>14902.274600000001</v>
      </c>
      <c r="E25" s="28">
        <f t="shared" si="0"/>
        <v>0.18012462770054447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5.75" hidden="1" customHeight="1" x14ac:dyDescent="0.2">
      <c r="A26" s="20"/>
      <c r="B26" s="32" t="s">
        <v>139</v>
      </c>
      <c r="C26" s="26">
        <v>68745.603499999997</v>
      </c>
      <c r="D26" s="27">
        <v>14860.1165</v>
      </c>
      <c r="E26" s="28">
        <f t="shared" si="0"/>
        <v>0.21616097238858337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5.75" hidden="1" customHeight="1" x14ac:dyDescent="0.2">
      <c r="A27" s="20"/>
      <c r="B27" s="32" t="s">
        <v>149</v>
      </c>
      <c r="C27" s="26">
        <v>70407.764500000005</v>
      </c>
      <c r="D27" s="27">
        <v>14784.2711</v>
      </c>
      <c r="E27" s="28">
        <f t="shared" si="0"/>
        <v>0.2099806918312255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5.75" hidden="1" customHeight="1" x14ac:dyDescent="0.2">
      <c r="A28" s="20"/>
      <c r="B28" s="32" t="s">
        <v>263</v>
      </c>
      <c r="C28" s="26">
        <v>120542.5245</v>
      </c>
      <c r="D28" s="27">
        <v>14772.232599999999</v>
      </c>
      <c r="E28" s="28">
        <f t="shared" si="0"/>
        <v>0.12254789470582225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5.75" hidden="1" customHeight="1" x14ac:dyDescent="0.2">
      <c r="A29" s="20"/>
      <c r="B29" s="32" t="s">
        <v>66</v>
      </c>
      <c r="C29" s="26">
        <v>47249.487000000001</v>
      </c>
      <c r="D29" s="27">
        <v>14421.548500000001</v>
      </c>
      <c r="E29" s="28">
        <f t="shared" si="0"/>
        <v>0.30522127150290546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5.75" hidden="1" customHeight="1" x14ac:dyDescent="0.2">
      <c r="A30" s="20"/>
      <c r="B30" s="32" t="s">
        <v>179</v>
      </c>
      <c r="C30" s="26">
        <v>77085.364000000001</v>
      </c>
      <c r="D30" s="27">
        <v>14252.616</v>
      </c>
      <c r="E30" s="28">
        <f t="shared" si="0"/>
        <v>0.18489393135641158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5.75" hidden="1" customHeight="1" x14ac:dyDescent="0.2">
      <c r="A31" s="20"/>
      <c r="B31" s="32" t="s">
        <v>257</v>
      </c>
      <c r="C31" s="26">
        <v>112076.999</v>
      </c>
      <c r="D31" s="27">
        <v>14176.718699999999</v>
      </c>
      <c r="E31" s="28">
        <f t="shared" si="0"/>
        <v>0.1264908841822219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 spans="1:24" ht="15.75" hidden="1" customHeight="1" x14ac:dyDescent="0.2">
      <c r="A32" s="20"/>
      <c r="B32" s="32" t="s">
        <v>86</v>
      </c>
      <c r="C32" s="26">
        <v>51615.17</v>
      </c>
      <c r="D32" s="27">
        <v>13730.768</v>
      </c>
      <c r="E32" s="28">
        <f t="shared" si="0"/>
        <v>0.26602194664863066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 spans="1:24" ht="15.75" hidden="1" customHeight="1" x14ac:dyDescent="0.2">
      <c r="A33" s="20"/>
      <c r="B33" s="32" t="s">
        <v>173</v>
      </c>
      <c r="C33" s="26">
        <v>73002.352499999994</v>
      </c>
      <c r="D33" s="27">
        <v>13679.9023</v>
      </c>
      <c r="E33" s="28">
        <f t="shared" si="0"/>
        <v>0.18738988308630192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spans="1:24" ht="15.75" hidden="1" customHeight="1" x14ac:dyDescent="0.2">
      <c r="A34" s="20"/>
      <c r="B34" s="32" t="s">
        <v>208</v>
      </c>
      <c r="C34" s="26">
        <v>81641.379000000001</v>
      </c>
      <c r="D34" s="27">
        <v>13421.640799999999</v>
      </c>
      <c r="E34" s="28">
        <f t="shared" si="0"/>
        <v>0.16439752689625686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spans="1:24" ht="15.75" hidden="1" customHeight="1" x14ac:dyDescent="0.2">
      <c r="A35" s="20"/>
      <c r="B35" s="32" t="s">
        <v>221</v>
      </c>
      <c r="C35" s="26">
        <v>85741.722500000003</v>
      </c>
      <c r="D35" s="27">
        <v>13215.218699999999</v>
      </c>
      <c r="E35" s="28">
        <f t="shared" si="0"/>
        <v>0.1541282157003552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spans="1:24" ht="15.75" hidden="1" customHeight="1" x14ac:dyDescent="0.2">
      <c r="A36" s="20"/>
      <c r="B36" s="32" t="s">
        <v>63</v>
      </c>
      <c r="C36" s="26">
        <v>40490.86</v>
      </c>
      <c r="D36" s="27">
        <v>13105.306500000001</v>
      </c>
      <c r="E36" s="28">
        <f t="shared" si="0"/>
        <v>0.3236608582776459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spans="1:24" ht="15.75" hidden="1" customHeight="1" x14ac:dyDescent="0.2">
      <c r="A37" s="20"/>
      <c r="B37" s="32" t="s">
        <v>114</v>
      </c>
      <c r="C37" s="26">
        <v>54967.451500000003</v>
      </c>
      <c r="D37" s="27">
        <v>13008.288</v>
      </c>
      <c r="E37" s="28">
        <f t="shared" si="0"/>
        <v>0.23665437718173998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 spans="1:24" ht="15.75" hidden="1" customHeight="1" x14ac:dyDescent="0.2">
      <c r="A38" s="20"/>
      <c r="B38" s="32" t="s">
        <v>81</v>
      </c>
      <c r="C38" s="26">
        <v>45543.387000000002</v>
      </c>
      <c r="D38" s="27">
        <v>12456.697</v>
      </c>
      <c r="E38" s="28">
        <f t="shared" si="0"/>
        <v>0.27351274950192001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spans="1:24" ht="15.75" hidden="1" customHeight="1" x14ac:dyDescent="0.2">
      <c r="A39" s="20"/>
      <c r="B39" s="32" t="s">
        <v>110</v>
      </c>
      <c r="C39" s="26">
        <v>51470.249000000003</v>
      </c>
      <c r="D39" s="27">
        <v>12371.263999999999</v>
      </c>
      <c r="E39" s="28">
        <f t="shared" si="0"/>
        <v>0.24035757044812428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spans="1:24" ht="15.75" hidden="1" customHeight="1" x14ac:dyDescent="0.2">
      <c r="A40" s="20"/>
      <c r="B40" s="32" t="s">
        <v>119</v>
      </c>
      <c r="C40" s="26">
        <v>52872.504000000001</v>
      </c>
      <c r="D40" s="27">
        <v>12308.02</v>
      </c>
      <c r="E40" s="28">
        <f t="shared" si="0"/>
        <v>0.23278678081900567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spans="1:24" ht="15.75" hidden="1" customHeight="1" x14ac:dyDescent="0.2">
      <c r="A41" s="20"/>
      <c r="B41" s="32" t="s">
        <v>143</v>
      </c>
      <c r="C41" s="26">
        <v>56856.951999999997</v>
      </c>
      <c r="D41" s="27">
        <v>12172.765600000001</v>
      </c>
      <c r="E41" s="28">
        <f t="shared" si="0"/>
        <v>0.21409458600594702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 spans="1:24" ht="15.75" hidden="1" customHeight="1" x14ac:dyDescent="0.2">
      <c r="A42" s="20"/>
      <c r="B42" s="32" t="s">
        <v>230</v>
      </c>
      <c r="C42" s="26">
        <v>80556.972500000003</v>
      </c>
      <c r="D42" s="27">
        <v>12062.434800000001</v>
      </c>
      <c r="E42" s="28">
        <f t="shared" si="0"/>
        <v>0.1497379360923724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 spans="1:24" ht="15.75" hidden="1" customHeight="1" x14ac:dyDescent="0.2">
      <c r="A43" s="20"/>
      <c r="B43" s="32" t="s">
        <v>226</v>
      </c>
      <c r="C43" s="26">
        <v>79793.514500000005</v>
      </c>
      <c r="D43" s="27">
        <v>12021.5875</v>
      </c>
      <c r="E43" s="28">
        <f t="shared" si="0"/>
        <v>0.15065870422338645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spans="1:24" ht="15.75" hidden="1" customHeight="1" x14ac:dyDescent="0.2">
      <c r="A44" s="20"/>
      <c r="B44" s="32" t="s">
        <v>76</v>
      </c>
      <c r="C44" s="26">
        <v>40585.33</v>
      </c>
      <c r="D44" s="27">
        <v>11344.627</v>
      </c>
      <c r="E44" s="28">
        <f t="shared" si="0"/>
        <v>0.27952531123930741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 spans="1:24" ht="15.75" hidden="1" customHeight="1" x14ac:dyDescent="0.2">
      <c r="A45" s="20"/>
      <c r="B45" s="32" t="s">
        <v>233</v>
      </c>
      <c r="C45" s="26">
        <v>74980.212499999994</v>
      </c>
      <c r="D45" s="27">
        <v>10927.962</v>
      </c>
      <c r="E45" s="28">
        <f t="shared" si="0"/>
        <v>0.14574461228687502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spans="1:24" ht="15.75" hidden="1" customHeight="1" x14ac:dyDescent="0.2">
      <c r="A46" s="20"/>
      <c r="B46" s="32" t="s">
        <v>113</v>
      </c>
      <c r="C46" s="26">
        <v>45945.248500000002</v>
      </c>
      <c r="D46" s="27">
        <v>10899.8909</v>
      </c>
      <c r="E46" s="28">
        <f t="shared" si="0"/>
        <v>0.2372365207688451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 spans="1:24" ht="15.75" hidden="1" customHeight="1" x14ac:dyDescent="0.2">
      <c r="A47" s="20"/>
      <c r="B47" s="32" t="s">
        <v>231</v>
      </c>
      <c r="C47" s="26">
        <v>72668.417499999996</v>
      </c>
      <c r="D47" s="27">
        <v>10788.0715</v>
      </c>
      <c r="E47" s="28">
        <f t="shared" si="0"/>
        <v>0.14845612263401775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 spans="1:24" ht="15.75" hidden="1" customHeight="1" x14ac:dyDescent="0.2">
      <c r="A48" s="20"/>
      <c r="B48" s="32" t="s">
        <v>211</v>
      </c>
      <c r="C48" s="26">
        <v>66360.846999999994</v>
      </c>
      <c r="D48" s="27">
        <v>10696.401400000001</v>
      </c>
      <c r="E48" s="28">
        <f t="shared" si="0"/>
        <v>0.16118542609921782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 spans="1:24" ht="15.75" hidden="1" customHeight="1" x14ac:dyDescent="0.2">
      <c r="A49" s="20"/>
      <c r="B49" s="32" t="s">
        <v>92</v>
      </c>
      <c r="C49" s="26">
        <v>39806.300999999999</v>
      </c>
      <c r="D49" s="27">
        <v>10232.732</v>
      </c>
      <c r="E49" s="28">
        <f t="shared" si="0"/>
        <v>0.2570631217404501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 spans="1:24" ht="15.75" customHeight="1" x14ac:dyDescent="0.2">
      <c r="A50" s="20"/>
      <c r="B50" s="32" t="s">
        <v>360</v>
      </c>
      <c r="C50" s="26">
        <v>267570.42249999999</v>
      </c>
      <c r="D50" s="27">
        <v>15885.1656</v>
      </c>
      <c r="E50" s="28">
        <f t="shared" si="0"/>
        <v>5.9368167271926335E-2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spans="1:24" ht="15.75" hidden="1" customHeight="1" x14ac:dyDescent="0.2">
      <c r="A51" s="20"/>
      <c r="B51" s="32" t="s">
        <v>74</v>
      </c>
      <c r="C51" s="26">
        <v>35677.019999999997</v>
      </c>
      <c r="D51" s="27">
        <v>10169.799999999999</v>
      </c>
      <c r="E51" s="28">
        <f t="shared" si="0"/>
        <v>0.28505183448617627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spans="1:24" ht="15.75" hidden="1" customHeight="1" x14ac:dyDescent="0.2">
      <c r="A52" s="20"/>
      <c r="B52" s="32" t="s">
        <v>195</v>
      </c>
      <c r="C52" s="26">
        <v>56183.130499999999</v>
      </c>
      <c r="D52" s="27">
        <v>9815.6124999999993</v>
      </c>
      <c r="E52" s="28">
        <f t="shared" si="0"/>
        <v>0.17470746846333171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 spans="1:24" ht="15.75" hidden="1" customHeight="1" x14ac:dyDescent="0.2">
      <c r="A53" s="20"/>
      <c r="B53" s="32" t="s">
        <v>178</v>
      </c>
      <c r="C53" s="26">
        <v>52271.552499999998</v>
      </c>
      <c r="D53" s="27">
        <v>9688.2055999999993</v>
      </c>
      <c r="E53" s="28">
        <f t="shared" si="0"/>
        <v>0.18534375079064278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 spans="1:24" ht="15.75" hidden="1" customHeight="1" x14ac:dyDescent="0.2">
      <c r="A54" s="20"/>
      <c r="B54" s="32" t="s">
        <v>123</v>
      </c>
      <c r="C54" s="26">
        <v>42086.94</v>
      </c>
      <c r="D54" s="27">
        <v>9665.11</v>
      </c>
      <c r="E54" s="28">
        <f t="shared" si="0"/>
        <v>0.22964629882809251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 spans="1:24" ht="15.75" hidden="1" customHeight="1" x14ac:dyDescent="0.2">
      <c r="A55" s="20"/>
      <c r="B55" s="32" t="s">
        <v>133</v>
      </c>
      <c r="C55" s="26">
        <v>43625.129500000003</v>
      </c>
      <c r="D55" s="27">
        <v>9592.5480000000007</v>
      </c>
      <c r="E55" s="28">
        <f t="shared" si="0"/>
        <v>0.21988583437901313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spans="1:24" ht="15.75" hidden="1" customHeight="1" x14ac:dyDescent="0.2">
      <c r="A56" s="20"/>
      <c r="B56" s="32" t="s">
        <v>172</v>
      </c>
      <c r="C56" s="26">
        <v>49929.108999999997</v>
      </c>
      <c r="D56" s="27">
        <v>9378.0609999999997</v>
      </c>
      <c r="E56" s="28">
        <f t="shared" si="0"/>
        <v>0.18782752562237792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spans="1:24" ht="15.75" hidden="1" customHeight="1" x14ac:dyDescent="0.2">
      <c r="A57" s="20"/>
      <c r="B57" s="32" t="s">
        <v>116</v>
      </c>
      <c r="C57" s="26">
        <v>39530.0815</v>
      </c>
      <c r="D57" s="27">
        <v>9333.7790000000005</v>
      </c>
      <c r="E57" s="28">
        <f t="shared" si="0"/>
        <v>0.23611838493173865</v>
      </c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spans="1:24" ht="15.75" hidden="1" customHeight="1" x14ac:dyDescent="0.2">
      <c r="A58" s="20"/>
      <c r="B58" s="32" t="s">
        <v>273</v>
      </c>
      <c r="C58" s="26">
        <v>80777.809500000003</v>
      </c>
      <c r="D58" s="27">
        <v>9196.4115000000002</v>
      </c>
      <c r="E58" s="28">
        <f t="shared" si="0"/>
        <v>0.11384824071021633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 spans="1:24" ht="15.75" hidden="1" customHeight="1" x14ac:dyDescent="0.2">
      <c r="A59" s="20"/>
      <c r="B59" s="32" t="s">
        <v>70</v>
      </c>
      <c r="C59" s="26">
        <v>30466.672500000001</v>
      </c>
      <c r="D59" s="27">
        <v>9094.8585000000003</v>
      </c>
      <c r="E59" s="28">
        <f t="shared" si="0"/>
        <v>0.29851827435372208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 spans="1:24" ht="15.75" hidden="1" customHeight="1" x14ac:dyDescent="0.2">
      <c r="A60" s="20"/>
      <c r="B60" s="32" t="s">
        <v>161</v>
      </c>
      <c r="C60" s="26">
        <v>45570.305500000002</v>
      </c>
      <c r="D60" s="27">
        <v>9062.1190000000006</v>
      </c>
      <c r="E60" s="28">
        <f t="shared" si="0"/>
        <v>0.1988601766121581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 spans="1:24" ht="15.75" hidden="1" customHeight="1" x14ac:dyDescent="0.2">
      <c r="A61" s="20"/>
      <c r="B61" s="32" t="s">
        <v>89</v>
      </c>
      <c r="C61" s="26">
        <v>34194.877999999997</v>
      </c>
      <c r="D61" s="27">
        <v>9013.0869999999995</v>
      </c>
      <c r="E61" s="28">
        <f t="shared" si="0"/>
        <v>0.26358003090404358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spans="1:24" ht="15.75" hidden="1" customHeight="1" x14ac:dyDescent="0.2">
      <c r="A62" s="20"/>
      <c r="B62" s="32" t="s">
        <v>180</v>
      </c>
      <c r="C62" s="26">
        <v>48721.633500000004</v>
      </c>
      <c r="D62" s="27">
        <v>8981.5694999999996</v>
      </c>
      <c r="E62" s="28">
        <f t="shared" si="0"/>
        <v>0.18434458893912084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spans="1:24" ht="15.75" hidden="1" customHeight="1" x14ac:dyDescent="0.2">
      <c r="A63" s="20"/>
      <c r="B63" s="32" t="s">
        <v>122</v>
      </c>
      <c r="C63" s="26">
        <v>38769.381999999998</v>
      </c>
      <c r="D63" s="27">
        <v>8945.7836000000007</v>
      </c>
      <c r="E63" s="28">
        <f t="shared" si="0"/>
        <v>0.23074351817111763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 spans="1:24" ht="15.75" hidden="1" customHeight="1" x14ac:dyDescent="0.2">
      <c r="A64" s="20"/>
      <c r="B64" s="32" t="s">
        <v>277</v>
      </c>
      <c r="C64" s="26">
        <v>78295.214000000007</v>
      </c>
      <c r="D64" s="27">
        <v>8669.4617999999991</v>
      </c>
      <c r="E64" s="28">
        <f t="shared" si="0"/>
        <v>0.11072786390238359</v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 spans="1:24" ht="15.75" hidden="1" customHeight="1" x14ac:dyDescent="0.2">
      <c r="A65" s="20"/>
      <c r="B65" s="32" t="s">
        <v>54</v>
      </c>
      <c r="C65" s="26">
        <v>18854.669999999998</v>
      </c>
      <c r="D65" s="27">
        <v>8552.41</v>
      </c>
      <c r="E65" s="28">
        <f t="shared" si="0"/>
        <v>0.45359637691882176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 spans="1:24" ht="15.75" hidden="1" customHeight="1" x14ac:dyDescent="0.2">
      <c r="A66" s="20"/>
      <c r="B66" s="32" t="s">
        <v>91</v>
      </c>
      <c r="C66" s="26">
        <v>33227.139000000003</v>
      </c>
      <c r="D66" s="27">
        <v>8549.4912999999997</v>
      </c>
      <c r="E66" s="28">
        <f t="shared" si="0"/>
        <v>0.25730446729102974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 spans="1:24" ht="15.75" hidden="1" customHeight="1" x14ac:dyDescent="0.2">
      <c r="A67" s="20"/>
      <c r="B67" s="32" t="s">
        <v>55</v>
      </c>
      <c r="C67" s="26">
        <v>18775.759999999998</v>
      </c>
      <c r="D67" s="27">
        <v>8504.4699999999993</v>
      </c>
      <c r="E67" s="28">
        <f t="shared" si="0"/>
        <v>0.45294944119439107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spans="1:24" ht="15.75" hidden="1" customHeight="1" x14ac:dyDescent="0.2">
      <c r="A68" s="20"/>
      <c r="B68" s="32" t="s">
        <v>246</v>
      </c>
      <c r="C68" s="26">
        <v>62716.243000000002</v>
      </c>
      <c r="D68" s="27">
        <v>8477.4254999999994</v>
      </c>
      <c r="E68" s="28">
        <f t="shared" ref="E68:E131" si="1">D68/C68</f>
        <v>0.13517113102581732</v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 spans="1:24" ht="15.75" hidden="1" customHeight="1" x14ac:dyDescent="0.2">
      <c r="A69" s="20"/>
      <c r="B69" s="32" t="s">
        <v>88</v>
      </c>
      <c r="C69" s="26">
        <v>31404.437000000002</v>
      </c>
      <c r="D69" s="27">
        <v>8319.1849999999995</v>
      </c>
      <c r="E69" s="28">
        <f t="shared" si="1"/>
        <v>0.26490476489038789</v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spans="1:24" ht="15.75" hidden="1" customHeight="1" x14ac:dyDescent="0.2">
      <c r="A70" s="20"/>
      <c r="B70" s="32" t="s">
        <v>125</v>
      </c>
      <c r="C70" s="26">
        <v>35667.1875</v>
      </c>
      <c r="D70" s="27">
        <v>8128.6840000000002</v>
      </c>
      <c r="E70" s="28">
        <f t="shared" si="1"/>
        <v>0.22790370000438079</v>
      </c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 spans="1:24" ht="15.75" customHeight="1" x14ac:dyDescent="0.2">
      <c r="A71" s="20"/>
      <c r="B71" s="32" t="s">
        <v>362</v>
      </c>
      <c r="C71" s="26">
        <v>147376.25450000001</v>
      </c>
      <c r="D71" s="27">
        <v>8081.5637999999999</v>
      </c>
      <c r="E71" s="28">
        <f t="shared" si="1"/>
        <v>5.4836268077365198E-2</v>
      </c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 spans="1:24" ht="15.75" hidden="1" customHeight="1" x14ac:dyDescent="0.2">
      <c r="A72" s="20"/>
      <c r="B72" s="32" t="s">
        <v>316</v>
      </c>
      <c r="C72" s="26">
        <v>93695.351500000004</v>
      </c>
      <c r="D72" s="27">
        <v>7962.1359000000002</v>
      </c>
      <c r="E72" s="28">
        <f t="shared" si="1"/>
        <v>8.4978985323514153E-2</v>
      </c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 spans="1:24" ht="15.75" hidden="1" customHeight="1" x14ac:dyDescent="0.2">
      <c r="A73" s="20"/>
      <c r="B73" s="32" t="s">
        <v>269</v>
      </c>
      <c r="C73" s="26">
        <v>67422.134999999995</v>
      </c>
      <c r="D73" s="27">
        <v>7900.4009999999998</v>
      </c>
      <c r="E73" s="28">
        <f t="shared" si="1"/>
        <v>0.11717814928287276</v>
      </c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 spans="1:24" ht="15.75" hidden="1" customHeight="1" x14ac:dyDescent="0.2">
      <c r="A74" s="20"/>
      <c r="B74" s="32" t="s">
        <v>150</v>
      </c>
      <c r="C74" s="26">
        <v>37316.485999999997</v>
      </c>
      <c r="D74" s="27">
        <v>7808.1144999999997</v>
      </c>
      <c r="E74" s="28">
        <f t="shared" si="1"/>
        <v>0.20924034755040977</v>
      </c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 spans="1:24" ht="15.75" hidden="1" customHeight="1" x14ac:dyDescent="0.2">
      <c r="A75" s="20"/>
      <c r="B75" s="32" t="s">
        <v>58</v>
      </c>
      <c r="C75" s="26">
        <v>20108.37</v>
      </c>
      <c r="D75" s="27">
        <v>7794.4859999999999</v>
      </c>
      <c r="E75" s="28">
        <f t="shared" si="1"/>
        <v>0.38762395957504264</v>
      </c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 spans="1:24" ht="15.75" hidden="1" customHeight="1" x14ac:dyDescent="0.2">
      <c r="A76" s="20"/>
      <c r="B76" s="32" t="s">
        <v>252</v>
      </c>
      <c r="C76" s="26">
        <v>59897.065999999999</v>
      </c>
      <c r="D76" s="27">
        <v>7724.4395000000004</v>
      </c>
      <c r="E76" s="28">
        <f t="shared" si="1"/>
        <v>0.12896190107208258</v>
      </c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 spans="1:24" ht="15.75" hidden="1" customHeight="1" x14ac:dyDescent="0.2">
      <c r="A77" s="20"/>
      <c r="B77" s="32" t="s">
        <v>69</v>
      </c>
      <c r="C77" s="26">
        <v>25012.92</v>
      </c>
      <c r="D77" s="27">
        <v>7526.3395</v>
      </c>
      <c r="E77" s="28">
        <f t="shared" si="1"/>
        <v>0.30089807587438816</v>
      </c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 spans="1:24" ht="15.75" hidden="1" customHeight="1" x14ac:dyDescent="0.2">
      <c r="A78" s="20"/>
      <c r="B78" s="32" t="s">
        <v>62</v>
      </c>
      <c r="C78" s="26">
        <v>22425.776999999998</v>
      </c>
      <c r="D78" s="27">
        <v>7335.2965000000004</v>
      </c>
      <c r="E78" s="28">
        <f t="shared" si="1"/>
        <v>0.32709218949247559</v>
      </c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 spans="1:24" ht="15.75" hidden="1" customHeight="1" x14ac:dyDescent="0.2">
      <c r="A79" s="20"/>
      <c r="B79" s="32" t="s">
        <v>71</v>
      </c>
      <c r="C79" s="26">
        <v>24089.960999999999</v>
      </c>
      <c r="D79" s="27">
        <v>7174.6165000000001</v>
      </c>
      <c r="E79" s="28">
        <f t="shared" si="1"/>
        <v>0.29782599066889315</v>
      </c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 spans="1:24" ht="15.75" hidden="1" customHeight="1" x14ac:dyDescent="0.2">
      <c r="A80" s="20"/>
      <c r="B80" s="32" t="s">
        <v>300</v>
      </c>
      <c r="C80" s="26">
        <v>76289.430999999997</v>
      </c>
      <c r="D80" s="27">
        <v>7092.5465999999997</v>
      </c>
      <c r="E80" s="28">
        <f t="shared" si="1"/>
        <v>9.296892776667845E-2</v>
      </c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 spans="1:24" ht="15.75" hidden="1" customHeight="1" x14ac:dyDescent="0.2">
      <c r="A81" s="20"/>
      <c r="B81" s="32" t="s">
        <v>216</v>
      </c>
      <c r="C81" s="26">
        <v>44996.441500000001</v>
      </c>
      <c r="D81" s="27">
        <v>7085.6709000000001</v>
      </c>
      <c r="E81" s="28">
        <f t="shared" si="1"/>
        <v>0.15747180585380291</v>
      </c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 spans="1:24" ht="15.75" hidden="1" customHeight="1" x14ac:dyDescent="0.2">
      <c r="A82" s="20"/>
      <c r="B82" s="32" t="s">
        <v>167</v>
      </c>
      <c r="C82" s="26">
        <v>36731.211499999998</v>
      </c>
      <c r="D82" s="27">
        <v>7003.5338000000002</v>
      </c>
      <c r="E82" s="28">
        <f t="shared" si="1"/>
        <v>0.19066982857344633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 spans="1:24" ht="15.75" hidden="1" customHeight="1" x14ac:dyDescent="0.2">
      <c r="A83" s="20"/>
      <c r="B83" s="32" t="s">
        <v>75</v>
      </c>
      <c r="C83" s="26">
        <v>24758.371999999999</v>
      </c>
      <c r="D83" s="27">
        <v>6983.0029999999997</v>
      </c>
      <c r="E83" s="28">
        <f t="shared" si="1"/>
        <v>0.28204612968897952</v>
      </c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 spans="1:24" ht="15.75" hidden="1" customHeight="1" x14ac:dyDescent="0.2">
      <c r="A84" s="20"/>
      <c r="B84" s="32" t="s">
        <v>171</v>
      </c>
      <c r="C84" s="26">
        <v>36956.196499999998</v>
      </c>
      <c r="D84" s="27">
        <v>6953.9885999999997</v>
      </c>
      <c r="E84" s="28">
        <f t="shared" si="1"/>
        <v>0.18816840634560431</v>
      </c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 spans="1:24" ht="15.75" hidden="1" customHeight="1" x14ac:dyDescent="0.2">
      <c r="A85" s="20"/>
      <c r="B85" s="32" t="s">
        <v>301</v>
      </c>
      <c r="C85" s="26">
        <v>74513.649000000005</v>
      </c>
      <c r="D85" s="27">
        <v>6907.3101999999999</v>
      </c>
      <c r="E85" s="28">
        <f t="shared" si="1"/>
        <v>9.2698590026103797E-2</v>
      </c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 spans="1:24" ht="15.75" hidden="1" customHeight="1" x14ac:dyDescent="0.2">
      <c r="A86" s="20"/>
      <c r="B86" s="32" t="s">
        <v>259</v>
      </c>
      <c r="C86" s="26">
        <v>54609.3825</v>
      </c>
      <c r="D86" s="27">
        <v>6834.5559999999996</v>
      </c>
      <c r="E86" s="28">
        <f t="shared" si="1"/>
        <v>0.12515351185302268</v>
      </c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 spans="1:24" ht="15.75" hidden="1" customHeight="1" x14ac:dyDescent="0.2">
      <c r="A87" s="20"/>
      <c r="B87" s="32" t="s">
        <v>315</v>
      </c>
      <c r="C87" s="26">
        <v>76725.672999999995</v>
      </c>
      <c r="D87" s="27">
        <v>6725.5169999999998</v>
      </c>
      <c r="E87" s="28">
        <f t="shared" si="1"/>
        <v>8.7656670017088031E-2</v>
      </c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 spans="1:24" ht="15.75" hidden="1" customHeight="1" x14ac:dyDescent="0.2">
      <c r="A88" s="20"/>
      <c r="B88" s="32" t="s">
        <v>164</v>
      </c>
      <c r="C88" s="26">
        <v>34884.142500000002</v>
      </c>
      <c r="D88" s="27">
        <v>6720.3923999999997</v>
      </c>
      <c r="E88" s="28">
        <f t="shared" si="1"/>
        <v>0.19264892063779407</v>
      </c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 spans="1:24" ht="15.75" hidden="1" customHeight="1" x14ac:dyDescent="0.2">
      <c r="A89" s="20"/>
      <c r="B89" s="32" t="s">
        <v>118</v>
      </c>
      <c r="C89" s="26">
        <v>28318.7235</v>
      </c>
      <c r="D89" s="27">
        <v>6615.0190000000002</v>
      </c>
      <c r="E89" s="28">
        <f t="shared" si="1"/>
        <v>0.23359170832682483</v>
      </c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 spans="1:24" ht="15.75" hidden="1" customHeight="1" x14ac:dyDescent="0.2">
      <c r="A90" s="20"/>
      <c r="B90" s="32" t="s">
        <v>193</v>
      </c>
      <c r="C90" s="26">
        <v>36074.178999999996</v>
      </c>
      <c r="D90" s="27">
        <v>6335.5074999999997</v>
      </c>
      <c r="E90" s="28">
        <f t="shared" si="1"/>
        <v>0.17562444040653011</v>
      </c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 spans="1:24" ht="15.75" hidden="1" customHeight="1" x14ac:dyDescent="0.2">
      <c r="A91" s="20"/>
      <c r="B91" s="32" t="s">
        <v>235</v>
      </c>
      <c r="C91" s="26">
        <v>44055.630499999999</v>
      </c>
      <c r="D91" s="27">
        <v>6311.7826999999997</v>
      </c>
      <c r="E91" s="28">
        <f t="shared" si="1"/>
        <v>0.14326846826082765</v>
      </c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 spans="1:24" ht="15.75" hidden="1" customHeight="1" x14ac:dyDescent="0.2">
      <c r="A92" s="20"/>
      <c r="B92" s="32" t="s">
        <v>288</v>
      </c>
      <c r="C92" s="26">
        <v>60282.537499999999</v>
      </c>
      <c r="D92" s="27">
        <v>6276.2106000000003</v>
      </c>
      <c r="E92" s="28">
        <f t="shared" si="1"/>
        <v>0.10411324506703123</v>
      </c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 spans="1:24" ht="15.75" hidden="1" customHeight="1" x14ac:dyDescent="0.2">
      <c r="A93" s="20"/>
      <c r="B93" s="32" t="s">
        <v>144</v>
      </c>
      <c r="C93" s="26">
        <v>28741.781500000001</v>
      </c>
      <c r="D93" s="27">
        <v>6148.9094999999998</v>
      </c>
      <c r="E93" s="28">
        <f t="shared" si="1"/>
        <v>0.2139362690513808</v>
      </c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 spans="1:24" ht="15.75" hidden="1" customHeight="1" x14ac:dyDescent="0.2">
      <c r="A94" s="20"/>
      <c r="B94" s="32" t="s">
        <v>232</v>
      </c>
      <c r="C94" s="26">
        <v>41284.178</v>
      </c>
      <c r="D94" s="27">
        <v>6054.652</v>
      </c>
      <c r="E94" s="28">
        <f t="shared" si="1"/>
        <v>0.14665792788704671</v>
      </c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 spans="1:24" ht="15.75" hidden="1" customHeight="1" x14ac:dyDescent="0.2">
      <c r="A95" s="20"/>
      <c r="B95" s="32" t="s">
        <v>147</v>
      </c>
      <c r="C95" s="26">
        <v>28771.415000000001</v>
      </c>
      <c r="D95" s="27">
        <v>6045.942</v>
      </c>
      <c r="E95" s="28">
        <f t="shared" si="1"/>
        <v>0.21013711004481356</v>
      </c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 spans="1:24" ht="15.75" hidden="1" customHeight="1" x14ac:dyDescent="0.2">
      <c r="A96" s="20"/>
      <c r="B96" s="32" t="s">
        <v>190</v>
      </c>
      <c r="C96" s="26">
        <v>33458.067999999999</v>
      </c>
      <c r="D96" s="27">
        <v>5929.8239999999996</v>
      </c>
      <c r="E96" s="28">
        <f t="shared" si="1"/>
        <v>0.17723151259062536</v>
      </c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 spans="1:24" ht="15.75" hidden="1" customHeight="1" x14ac:dyDescent="0.2">
      <c r="A97" s="20"/>
      <c r="B97" s="32" t="s">
        <v>218</v>
      </c>
      <c r="C97" s="26">
        <v>37255.262999999999</v>
      </c>
      <c r="D97" s="27">
        <v>5847.1785</v>
      </c>
      <c r="E97" s="28">
        <f t="shared" si="1"/>
        <v>0.1569490597878748</v>
      </c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 spans="1:24" ht="15.75" hidden="1" customHeight="1" x14ac:dyDescent="0.2">
      <c r="A98" s="20"/>
      <c r="B98" s="32" t="s">
        <v>369</v>
      </c>
      <c r="C98" s="26">
        <v>124158.69349999999</v>
      </c>
      <c r="D98" s="27">
        <v>5815.2755999999999</v>
      </c>
      <c r="E98" s="28">
        <f t="shared" si="1"/>
        <v>4.6837441954880106E-2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spans="1:24" ht="15.75" hidden="1" customHeight="1" x14ac:dyDescent="0.2">
      <c r="A99" s="20"/>
      <c r="B99" s="32" t="s">
        <v>282</v>
      </c>
      <c r="C99" s="26">
        <v>53247.61</v>
      </c>
      <c r="D99" s="27">
        <v>5771.5739999999996</v>
      </c>
      <c r="E99" s="28">
        <f t="shared" si="1"/>
        <v>0.10839123108060623</v>
      </c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 spans="1:24" ht="15.75" hidden="1" customHeight="1" x14ac:dyDescent="0.2">
      <c r="A100" s="20"/>
      <c r="B100" s="32" t="s">
        <v>95</v>
      </c>
      <c r="C100" s="26">
        <v>22275.510999999999</v>
      </c>
      <c r="D100" s="27">
        <v>5675.9809999999998</v>
      </c>
      <c r="E100" s="28">
        <f t="shared" si="1"/>
        <v>0.2548081164108873</v>
      </c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 spans="1:24" ht="15.75" hidden="1" customHeight="1" x14ac:dyDescent="0.2">
      <c r="A101" s="20"/>
      <c r="B101" s="32" t="s">
        <v>153</v>
      </c>
      <c r="C101" s="26">
        <v>27451.284500000002</v>
      </c>
      <c r="D101" s="27">
        <v>5655.1594999999998</v>
      </c>
      <c r="E101" s="28">
        <f t="shared" si="1"/>
        <v>0.20600709959492058</v>
      </c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 spans="1:24" ht="15.75" hidden="1" customHeight="1" x14ac:dyDescent="0.2">
      <c r="A102" s="20"/>
      <c r="B102" s="32" t="s">
        <v>99</v>
      </c>
      <c r="C102" s="26">
        <v>22303.802</v>
      </c>
      <c r="D102" s="27">
        <v>5624.8779999999997</v>
      </c>
      <c r="E102" s="28">
        <f t="shared" si="1"/>
        <v>0.25219368428754879</v>
      </c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 spans="1:24" ht="15.75" hidden="1" customHeight="1" x14ac:dyDescent="0.2">
      <c r="A103" s="20"/>
      <c r="B103" s="32" t="s">
        <v>163</v>
      </c>
      <c r="C103" s="26">
        <v>28657.239000000001</v>
      </c>
      <c r="D103" s="27">
        <v>5538.6710000000003</v>
      </c>
      <c r="E103" s="28">
        <f t="shared" si="1"/>
        <v>0.19327301558953394</v>
      </c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 spans="1:24" ht="15.75" hidden="1" customHeight="1" x14ac:dyDescent="0.2">
      <c r="A104" s="20"/>
      <c r="B104" s="32" t="s">
        <v>160</v>
      </c>
      <c r="C104" s="26">
        <v>26886.11</v>
      </c>
      <c r="D104" s="27">
        <v>5412.1369999999997</v>
      </c>
      <c r="E104" s="28">
        <f t="shared" si="1"/>
        <v>0.20129862594477221</v>
      </c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 spans="1:24" ht="15.75" hidden="1" customHeight="1" x14ac:dyDescent="0.2">
      <c r="A105" s="20"/>
      <c r="B105" s="32" t="s">
        <v>305</v>
      </c>
      <c r="C105" s="26">
        <v>57860.063499999997</v>
      </c>
      <c r="D105" s="27">
        <v>5276.7554</v>
      </c>
      <c r="E105" s="28">
        <f t="shared" si="1"/>
        <v>9.1198576026450442E-2</v>
      </c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 spans="1:24" ht="15.75" hidden="1" customHeight="1" x14ac:dyDescent="0.2">
      <c r="A106" s="20"/>
      <c r="B106" s="32" t="s">
        <v>184</v>
      </c>
      <c r="C106" s="26">
        <v>29195.46</v>
      </c>
      <c r="D106" s="27">
        <v>5246.9319999999998</v>
      </c>
      <c r="E106" s="28">
        <f t="shared" si="1"/>
        <v>0.17971739441680315</v>
      </c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 spans="1:24" ht="15.75" hidden="1" customHeight="1" x14ac:dyDescent="0.2">
      <c r="A107" s="20"/>
      <c r="B107" s="32" t="s">
        <v>131</v>
      </c>
      <c r="C107" s="26">
        <v>23127.528999999999</v>
      </c>
      <c r="D107" s="27">
        <v>5155.6819999999998</v>
      </c>
      <c r="E107" s="28">
        <f t="shared" si="1"/>
        <v>0.22292403135674374</v>
      </c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 spans="1:24" ht="15.75" hidden="1" customHeight="1" x14ac:dyDescent="0.2">
      <c r="A108" s="20"/>
      <c r="B108" s="32" t="s">
        <v>242</v>
      </c>
      <c r="C108" s="26">
        <v>36944.654999999999</v>
      </c>
      <c r="D108" s="27">
        <v>5125.0843000000004</v>
      </c>
      <c r="E108" s="28">
        <f t="shared" si="1"/>
        <v>0.13872329569730724</v>
      </c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 spans="1:24" ht="15.75" hidden="1" customHeight="1" x14ac:dyDescent="0.2">
      <c r="A109" s="20"/>
      <c r="B109" s="32" t="s">
        <v>332</v>
      </c>
      <c r="C109" s="26">
        <v>69746.410499999998</v>
      </c>
      <c r="D109" s="27">
        <v>5091.9575000000004</v>
      </c>
      <c r="E109" s="28">
        <f t="shared" si="1"/>
        <v>7.3006732009527578E-2</v>
      </c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 spans="1:24" ht="15.75" hidden="1" customHeight="1" x14ac:dyDescent="0.2">
      <c r="A110" s="20"/>
      <c r="B110" s="32" t="s">
        <v>219</v>
      </c>
      <c r="C110" s="26">
        <v>32299.8115</v>
      </c>
      <c r="D110" s="27">
        <v>5062.4290000000001</v>
      </c>
      <c r="E110" s="28">
        <f t="shared" si="1"/>
        <v>0.15673246266468149</v>
      </c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 spans="1:24" ht="15.75" hidden="1" customHeight="1" x14ac:dyDescent="0.2">
      <c r="A111" s="20"/>
      <c r="B111" s="32" t="s">
        <v>97</v>
      </c>
      <c r="C111" s="26">
        <v>19863.656999999999</v>
      </c>
      <c r="D111" s="27">
        <v>5052.348</v>
      </c>
      <c r="E111" s="28">
        <f t="shared" si="1"/>
        <v>0.25435135131461445</v>
      </c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 spans="1:24" ht="15.75" hidden="1" customHeight="1" x14ac:dyDescent="0.2">
      <c r="A112" s="20"/>
      <c r="B112" s="32" t="s">
        <v>186</v>
      </c>
      <c r="C112" s="26">
        <v>28102.353500000001</v>
      </c>
      <c r="D112" s="27">
        <v>5025.5895</v>
      </c>
      <c r="E112" s="28">
        <f t="shared" si="1"/>
        <v>0.17883162347950679</v>
      </c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 spans="1:24" ht="15.75" hidden="1" customHeight="1" x14ac:dyDescent="0.2">
      <c r="A113" s="20"/>
      <c r="B113" s="32" t="s">
        <v>287</v>
      </c>
      <c r="C113" s="26">
        <v>47572.266499999998</v>
      </c>
      <c r="D113" s="27">
        <v>5014.2169000000004</v>
      </c>
      <c r="E113" s="28">
        <f t="shared" si="1"/>
        <v>0.10540210229420119</v>
      </c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spans="1:24" ht="15.75" hidden="1" customHeight="1" x14ac:dyDescent="0.2">
      <c r="A114" s="20"/>
      <c r="B114" s="32" t="s">
        <v>274</v>
      </c>
      <c r="C114" s="26">
        <v>44516.637999999999</v>
      </c>
      <c r="D114" s="27">
        <v>4991.6225999999997</v>
      </c>
      <c r="E114" s="28">
        <f t="shared" si="1"/>
        <v>0.11212937059622516</v>
      </c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 spans="1:24" ht="15.75" hidden="1" customHeight="1" x14ac:dyDescent="0.2">
      <c r="A115" s="20"/>
      <c r="B115" s="32" t="s">
        <v>238</v>
      </c>
      <c r="C115" s="26">
        <v>35332.872499999998</v>
      </c>
      <c r="D115" s="27">
        <v>4970.5536000000002</v>
      </c>
      <c r="E115" s="28">
        <f t="shared" si="1"/>
        <v>0.1406778800676339</v>
      </c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 spans="1:24" ht="15.75" hidden="1" customHeight="1" x14ac:dyDescent="0.2">
      <c r="A116" s="20"/>
      <c r="B116" s="32" t="s">
        <v>322</v>
      </c>
      <c r="C116" s="26">
        <v>61883.938999999998</v>
      </c>
      <c r="D116" s="27">
        <v>4906.8885</v>
      </c>
      <c r="E116" s="28">
        <f t="shared" si="1"/>
        <v>7.9291793303590458E-2</v>
      </c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 spans="1:24" ht="15.75" hidden="1" customHeight="1" x14ac:dyDescent="0.2">
      <c r="A117" s="20"/>
      <c r="B117" s="32" t="s">
        <v>290</v>
      </c>
      <c r="C117" s="26">
        <v>48179.790500000003</v>
      </c>
      <c r="D117" s="27">
        <v>4900.7195000000002</v>
      </c>
      <c r="E117" s="28">
        <f t="shared" si="1"/>
        <v>0.10171732689456173</v>
      </c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 spans="1:24" ht="15.75" hidden="1" customHeight="1" x14ac:dyDescent="0.2">
      <c r="A118" s="20"/>
      <c r="B118" s="32" t="s">
        <v>152</v>
      </c>
      <c r="C118" s="26">
        <v>23416.833500000001</v>
      </c>
      <c r="D118" s="27">
        <v>4855.2214999999997</v>
      </c>
      <c r="E118" s="28">
        <f t="shared" si="1"/>
        <v>0.20733894273109127</v>
      </c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 spans="1:24" ht="15.75" hidden="1" customHeight="1" x14ac:dyDescent="0.2">
      <c r="A119" s="20"/>
      <c r="B119" s="32" t="s">
        <v>279</v>
      </c>
      <c r="C119" s="26">
        <v>44227.001499999998</v>
      </c>
      <c r="D119" s="27">
        <v>4847.8968000000004</v>
      </c>
      <c r="E119" s="28">
        <f t="shared" si="1"/>
        <v>0.10961396060277794</v>
      </c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 spans="1:24" ht="15.75" hidden="1" customHeight="1" x14ac:dyDescent="0.2">
      <c r="A120" s="20"/>
      <c r="B120" s="32" t="s">
        <v>132</v>
      </c>
      <c r="C120" s="26">
        <v>21848.33</v>
      </c>
      <c r="D120" s="27">
        <v>4840.67</v>
      </c>
      <c r="E120" s="28">
        <f t="shared" si="1"/>
        <v>0.22155789481392857</v>
      </c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 spans="1:24" ht="15.75" hidden="1" customHeight="1" x14ac:dyDescent="0.2">
      <c r="A121" s="20"/>
      <c r="B121" s="32" t="s">
        <v>310</v>
      </c>
      <c r="C121" s="26">
        <v>54343.351999999999</v>
      </c>
      <c r="D121" s="27">
        <v>4811.9818999999998</v>
      </c>
      <c r="E121" s="28">
        <f t="shared" si="1"/>
        <v>8.8547756494667465E-2</v>
      </c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 spans="1:24" ht="15.75" hidden="1" customHeight="1" x14ac:dyDescent="0.2">
      <c r="A122" s="20"/>
      <c r="B122" s="32" t="s">
        <v>295</v>
      </c>
      <c r="C122" s="26">
        <v>49189.19</v>
      </c>
      <c r="D122" s="27">
        <v>4803.1395000000002</v>
      </c>
      <c r="E122" s="28">
        <f t="shared" si="1"/>
        <v>9.7646240972864159E-2</v>
      </c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 spans="1:24" ht="15.75" hidden="1" customHeight="1" x14ac:dyDescent="0.2">
      <c r="A123" s="20"/>
      <c r="B123" s="32" t="s">
        <v>236</v>
      </c>
      <c r="C123" s="26">
        <v>33395.963000000003</v>
      </c>
      <c r="D123" s="27">
        <v>4735.6972999999998</v>
      </c>
      <c r="E123" s="28">
        <f t="shared" si="1"/>
        <v>0.14180448397310774</v>
      </c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 spans="1:24" ht="15.75" hidden="1" customHeight="1" x14ac:dyDescent="0.2">
      <c r="A124" s="20"/>
      <c r="B124" s="32" t="s">
        <v>191</v>
      </c>
      <c r="C124" s="26">
        <v>26364.884999999998</v>
      </c>
      <c r="D124" s="27">
        <v>4654.1610000000001</v>
      </c>
      <c r="E124" s="28">
        <f t="shared" si="1"/>
        <v>0.17652878061102867</v>
      </c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 spans="1:24" ht="15.75" hidden="1" customHeight="1" x14ac:dyDescent="0.2">
      <c r="A125" s="20"/>
      <c r="B125" s="32" t="s">
        <v>135</v>
      </c>
      <c r="C125" s="26">
        <v>20884.64</v>
      </c>
      <c r="D125" s="27">
        <v>4558.1075000000001</v>
      </c>
      <c r="E125" s="28">
        <f t="shared" si="1"/>
        <v>0.21825166725402018</v>
      </c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 spans="1:24" ht="15.75" hidden="1" customHeight="1" x14ac:dyDescent="0.2">
      <c r="A126" s="20"/>
      <c r="B126" s="32" t="s">
        <v>260</v>
      </c>
      <c r="C126" s="26">
        <v>36332.267999999996</v>
      </c>
      <c r="D126" s="27">
        <v>4539.6675999999998</v>
      </c>
      <c r="E126" s="28">
        <f t="shared" si="1"/>
        <v>0.12494864344829781</v>
      </c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 spans="1:24" ht="15.75" hidden="1" customHeight="1" x14ac:dyDescent="0.2">
      <c r="A127" s="20"/>
      <c r="B127" s="32" t="s">
        <v>194</v>
      </c>
      <c r="C127" s="26">
        <v>25624.730500000001</v>
      </c>
      <c r="D127" s="27">
        <v>4494.1994999999997</v>
      </c>
      <c r="E127" s="28">
        <f t="shared" si="1"/>
        <v>0.17538523966134978</v>
      </c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spans="1:24" ht="15.75" hidden="1" customHeight="1" x14ac:dyDescent="0.2">
      <c r="A128" s="20"/>
      <c r="B128" s="32" t="s">
        <v>256</v>
      </c>
      <c r="C128" s="26">
        <v>35027.197999999997</v>
      </c>
      <c r="D128" s="27">
        <v>4436.9014999999999</v>
      </c>
      <c r="E128" s="28">
        <f t="shared" si="1"/>
        <v>0.12667018069786798</v>
      </c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 spans="1:24" ht="15.75" hidden="1" customHeight="1" x14ac:dyDescent="0.2">
      <c r="A129" s="20"/>
      <c r="B129" s="32" t="s">
        <v>293</v>
      </c>
      <c r="C129" s="26">
        <v>45104.150999999998</v>
      </c>
      <c r="D129" s="27">
        <v>4425.6562000000004</v>
      </c>
      <c r="E129" s="28">
        <f t="shared" si="1"/>
        <v>9.8120818192542869E-2</v>
      </c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 spans="1:24" ht="15.75" hidden="1" customHeight="1" x14ac:dyDescent="0.2">
      <c r="A130" s="20"/>
      <c r="B130" s="32" t="s">
        <v>83</v>
      </c>
      <c r="C130" s="26">
        <v>16037.08</v>
      </c>
      <c r="D130" s="27">
        <v>4355.88</v>
      </c>
      <c r="E130" s="28">
        <f t="shared" si="1"/>
        <v>0.27161303678724558</v>
      </c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 spans="1:24" ht="15.75" hidden="1" customHeight="1" x14ac:dyDescent="0.2">
      <c r="A131" s="20"/>
      <c r="B131" s="32" t="s">
        <v>285</v>
      </c>
      <c r="C131" s="26">
        <v>40924.771999999997</v>
      </c>
      <c r="D131" s="27">
        <v>4352.5424999999996</v>
      </c>
      <c r="E131" s="28">
        <f t="shared" si="1"/>
        <v>0.10635471591631591</v>
      </c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 spans="1:24" ht="15.75" hidden="1" customHeight="1" x14ac:dyDescent="0.2">
      <c r="A132" s="20"/>
      <c r="B132" s="32" t="s">
        <v>319</v>
      </c>
      <c r="C132" s="26">
        <v>52024.697</v>
      </c>
      <c r="D132" s="27">
        <v>4293.9825000000001</v>
      </c>
      <c r="E132" s="28">
        <f t="shared" ref="E132:E195" si="2">D132/C132</f>
        <v>8.2537386041863919E-2</v>
      </c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 spans="1:24" ht="15.75" hidden="1" customHeight="1" x14ac:dyDescent="0.2">
      <c r="A133" s="20"/>
      <c r="B133" s="32" t="s">
        <v>313</v>
      </c>
      <c r="C133" s="26">
        <v>48771.31</v>
      </c>
      <c r="D133" s="27">
        <v>4288.5582999999997</v>
      </c>
      <c r="E133" s="28">
        <f t="shared" si="2"/>
        <v>8.7931989114091863E-2</v>
      </c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 spans="1:24" ht="15.75" hidden="1" customHeight="1" x14ac:dyDescent="0.2">
      <c r="A134" s="20"/>
      <c r="B134" s="32" t="s">
        <v>244</v>
      </c>
      <c r="C134" s="26">
        <v>30522.95</v>
      </c>
      <c r="D134" s="27">
        <v>4209.0955000000004</v>
      </c>
      <c r="E134" s="28">
        <f t="shared" si="2"/>
        <v>0.13789936752509177</v>
      </c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 spans="1:24" ht="15.75" hidden="1" customHeight="1" x14ac:dyDescent="0.2">
      <c r="A135" s="20"/>
      <c r="B135" s="32" t="s">
        <v>253</v>
      </c>
      <c r="C135" s="26">
        <v>32645.397499999999</v>
      </c>
      <c r="D135" s="27">
        <v>4203.6575000000003</v>
      </c>
      <c r="E135" s="28">
        <f t="shared" si="2"/>
        <v>0.1287672328082389</v>
      </c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 spans="1:24" ht="15.75" hidden="1" customHeight="1" x14ac:dyDescent="0.2">
      <c r="A136" s="20"/>
      <c r="B136" s="32" t="s">
        <v>311</v>
      </c>
      <c r="C136" s="26">
        <v>47411.89</v>
      </c>
      <c r="D136" s="27">
        <v>4194.9709999999995</v>
      </c>
      <c r="E136" s="28">
        <f t="shared" si="2"/>
        <v>8.8479303398366946E-2</v>
      </c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spans="1:24" ht="15.75" hidden="1" customHeight="1" x14ac:dyDescent="0.2">
      <c r="A137" s="20"/>
      <c r="B137" s="32" t="s">
        <v>249</v>
      </c>
      <c r="C137" s="26">
        <v>30097.0105</v>
      </c>
      <c r="D137" s="27">
        <v>4033.8620000000001</v>
      </c>
      <c r="E137" s="28">
        <f t="shared" si="2"/>
        <v>0.1340286604212734</v>
      </c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 spans="1:24" ht="15.75" hidden="1" customHeight="1" x14ac:dyDescent="0.2">
      <c r="A138" s="20"/>
      <c r="B138" s="32" t="s">
        <v>296</v>
      </c>
      <c r="C138" s="26">
        <v>42047.231500000002</v>
      </c>
      <c r="D138" s="27">
        <v>4025.9416000000001</v>
      </c>
      <c r="E138" s="28">
        <f t="shared" si="2"/>
        <v>9.5748077967987025E-2</v>
      </c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 spans="1:24" ht="15.75" hidden="1" customHeight="1" x14ac:dyDescent="0.2">
      <c r="A139" s="20"/>
      <c r="B139" s="32" t="s">
        <v>94</v>
      </c>
      <c r="C139" s="26">
        <v>15663.314</v>
      </c>
      <c r="D139" s="27">
        <v>4005.672</v>
      </c>
      <c r="E139" s="28">
        <f t="shared" si="2"/>
        <v>0.25573591897602255</v>
      </c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 spans="1:24" ht="15.75" hidden="1" customHeight="1" x14ac:dyDescent="0.2">
      <c r="A140" s="20"/>
      <c r="B140" s="32" t="s">
        <v>227</v>
      </c>
      <c r="C140" s="26">
        <v>26423.558000000001</v>
      </c>
      <c r="D140" s="27">
        <v>3969.8620999999998</v>
      </c>
      <c r="E140" s="28">
        <f t="shared" si="2"/>
        <v>0.15023949840517312</v>
      </c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 spans="1:24" ht="15.75" hidden="1" customHeight="1" x14ac:dyDescent="0.2">
      <c r="A141" s="20"/>
      <c r="B141" s="32" t="s">
        <v>170</v>
      </c>
      <c r="C141" s="26">
        <v>20908.299500000001</v>
      </c>
      <c r="D141" s="27">
        <v>3957.9360000000001</v>
      </c>
      <c r="E141" s="28">
        <f t="shared" si="2"/>
        <v>0.18929975630012377</v>
      </c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 spans="1:24" ht="15.75" hidden="1" customHeight="1" x14ac:dyDescent="0.2">
      <c r="A142" s="20"/>
      <c r="B142" s="32" t="s">
        <v>239</v>
      </c>
      <c r="C142" s="26">
        <v>27778.559499999999</v>
      </c>
      <c r="D142" s="27">
        <v>3895.5787999999998</v>
      </c>
      <c r="E142" s="28">
        <f t="shared" si="2"/>
        <v>0.14023689025343447</v>
      </c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 ht="15.75" hidden="1" customHeight="1" x14ac:dyDescent="0.2">
      <c r="A143" s="20"/>
      <c r="B143" s="32" t="s">
        <v>346</v>
      </c>
      <c r="C143" s="26">
        <v>59375.986499999999</v>
      </c>
      <c r="D143" s="27">
        <v>3849.6671000000001</v>
      </c>
      <c r="E143" s="28">
        <f t="shared" si="2"/>
        <v>6.4835421302852803E-2</v>
      </c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ht="15.75" hidden="1" customHeight="1" x14ac:dyDescent="0.2">
      <c r="A144" s="20"/>
      <c r="B144" s="32" t="s">
        <v>159</v>
      </c>
      <c r="C144" s="26">
        <v>19066.895499999999</v>
      </c>
      <c r="D144" s="27">
        <v>3849.5169999999998</v>
      </c>
      <c r="E144" s="28">
        <f t="shared" si="2"/>
        <v>0.201895321658421</v>
      </c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24" ht="15.75" hidden="1" customHeight="1" x14ac:dyDescent="0.2">
      <c r="A145" s="20"/>
      <c r="B145" s="32" t="s">
        <v>156</v>
      </c>
      <c r="C145" s="26">
        <v>18749.98</v>
      </c>
      <c r="D145" s="27">
        <v>3838.5645</v>
      </c>
      <c r="E145" s="28">
        <f t="shared" si="2"/>
        <v>0.20472365837190226</v>
      </c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 spans="1:24" ht="15.75" hidden="1" customHeight="1" x14ac:dyDescent="0.2">
      <c r="A146" s="20"/>
      <c r="B146" s="32" t="s">
        <v>140</v>
      </c>
      <c r="C146" s="26">
        <v>17895.704000000002</v>
      </c>
      <c r="D146" s="27">
        <v>3833.4160000000002</v>
      </c>
      <c r="E146" s="28">
        <f t="shared" si="2"/>
        <v>0.21420872853060152</v>
      </c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 spans="1:24" ht="15.75" hidden="1" customHeight="1" x14ac:dyDescent="0.2">
      <c r="A147" s="20"/>
      <c r="B147" s="32" t="s">
        <v>240</v>
      </c>
      <c r="C147" s="26">
        <v>27069.3</v>
      </c>
      <c r="D147" s="27">
        <v>3764.4375</v>
      </c>
      <c r="E147" s="28">
        <f t="shared" si="2"/>
        <v>0.13906667331626604</v>
      </c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 spans="1:24" ht="15.75" hidden="1" customHeight="1" x14ac:dyDescent="0.2">
      <c r="A148" s="20"/>
      <c r="B148" s="32" t="s">
        <v>59</v>
      </c>
      <c r="C148" s="26">
        <v>10414.44</v>
      </c>
      <c r="D148" s="27">
        <v>3746.9524999999999</v>
      </c>
      <c r="E148" s="28">
        <f t="shared" si="2"/>
        <v>0.35978434750212201</v>
      </c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 spans="1:24" ht="15.75" hidden="1" customHeight="1" x14ac:dyDescent="0.2">
      <c r="A149" s="20"/>
      <c r="B149" s="32" t="s">
        <v>90</v>
      </c>
      <c r="C149" s="26">
        <v>14523.59</v>
      </c>
      <c r="D149" s="27">
        <v>3743.1550000000002</v>
      </c>
      <c r="E149" s="28">
        <f t="shared" si="2"/>
        <v>0.25772932174483032</v>
      </c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 spans="1:24" ht="15.75" hidden="1" customHeight="1" x14ac:dyDescent="0.2">
      <c r="A150" s="20"/>
      <c r="B150" s="32" t="s">
        <v>137</v>
      </c>
      <c r="C150" s="26">
        <v>17251.794999999998</v>
      </c>
      <c r="D150" s="27">
        <v>3739.076</v>
      </c>
      <c r="E150" s="28">
        <f t="shared" si="2"/>
        <v>0.21673547593163497</v>
      </c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 spans="1:24" ht="15.75" hidden="1" customHeight="1" x14ac:dyDescent="0.2">
      <c r="A151" s="20"/>
      <c r="B151" s="32" t="s">
        <v>107</v>
      </c>
      <c r="C151" s="26">
        <v>14886.39</v>
      </c>
      <c r="D151" s="27">
        <v>3664.91</v>
      </c>
      <c r="E151" s="28">
        <f t="shared" si="2"/>
        <v>0.24619199147677845</v>
      </c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 spans="1:24" ht="15.75" hidden="1" customHeight="1" x14ac:dyDescent="0.2">
      <c r="A152" s="20"/>
      <c r="B152" s="32" t="s">
        <v>61</v>
      </c>
      <c r="C152" s="26">
        <v>11073.309499999999</v>
      </c>
      <c r="D152" s="27">
        <v>3624.2049999999999</v>
      </c>
      <c r="E152" s="28">
        <f t="shared" si="2"/>
        <v>0.32729194465304162</v>
      </c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 spans="1:24" ht="15.75" hidden="1" customHeight="1" x14ac:dyDescent="0.2">
      <c r="A153" s="20"/>
      <c r="B153" s="32" t="s">
        <v>302</v>
      </c>
      <c r="C153" s="26">
        <v>39092.993999999999</v>
      </c>
      <c r="D153" s="27">
        <v>3620.3238999999999</v>
      </c>
      <c r="E153" s="28">
        <f t="shared" si="2"/>
        <v>9.2607997739953096E-2</v>
      </c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 spans="1:24" ht="15.75" hidden="1" customHeight="1" x14ac:dyDescent="0.2">
      <c r="A154" s="20"/>
      <c r="B154" s="32" t="s">
        <v>204</v>
      </c>
      <c r="C154" s="26">
        <v>21705.636500000001</v>
      </c>
      <c r="D154" s="27">
        <v>3604.2269999999999</v>
      </c>
      <c r="E154" s="28">
        <f t="shared" si="2"/>
        <v>0.16605027915214557</v>
      </c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 spans="1:24" ht="15.75" hidden="1" customHeight="1" x14ac:dyDescent="0.2">
      <c r="A155" s="20"/>
      <c r="B155" s="32" t="s">
        <v>312</v>
      </c>
      <c r="C155" s="26">
        <v>39527.727500000001</v>
      </c>
      <c r="D155" s="27">
        <v>3497.1179999999999</v>
      </c>
      <c r="E155" s="28">
        <f t="shared" si="2"/>
        <v>8.8472528556062316E-2</v>
      </c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 spans="1:24" ht="15.75" hidden="1" customHeight="1" x14ac:dyDescent="0.2">
      <c r="A156" s="20"/>
      <c r="B156" s="32" t="s">
        <v>214</v>
      </c>
      <c r="C156" s="26">
        <v>21329.31</v>
      </c>
      <c r="D156" s="27">
        <v>3383.0401999999999</v>
      </c>
      <c r="E156" s="28">
        <f t="shared" si="2"/>
        <v>0.15860992221501771</v>
      </c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 spans="1:24" ht="15.75" hidden="1" customHeight="1" x14ac:dyDescent="0.2">
      <c r="A157" s="20"/>
      <c r="B157" s="32" t="s">
        <v>286</v>
      </c>
      <c r="C157" s="26">
        <v>31735.151000000002</v>
      </c>
      <c r="D157" s="27">
        <v>3366.2483000000002</v>
      </c>
      <c r="E157" s="28">
        <f t="shared" si="2"/>
        <v>0.10607317734205834</v>
      </c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 spans="1:24" ht="15.75" hidden="1" customHeight="1" x14ac:dyDescent="0.2">
      <c r="A158" s="20"/>
      <c r="B158" s="32" t="s">
        <v>212</v>
      </c>
      <c r="C158" s="26">
        <v>20547.817999999999</v>
      </c>
      <c r="D158" s="27">
        <v>3308.0655000000002</v>
      </c>
      <c r="E158" s="28">
        <f t="shared" si="2"/>
        <v>0.16099351765720332</v>
      </c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 spans="1:24" ht="15.75" hidden="1" customHeight="1" x14ac:dyDescent="0.2">
      <c r="A159" s="20"/>
      <c r="B159" s="32" t="s">
        <v>275</v>
      </c>
      <c r="C159" s="26">
        <v>29465.886999999999</v>
      </c>
      <c r="D159" s="27">
        <v>3302.7505000000001</v>
      </c>
      <c r="E159" s="28">
        <f t="shared" si="2"/>
        <v>0.11208725873414231</v>
      </c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 spans="1:24" ht="15.75" hidden="1" customHeight="1" x14ac:dyDescent="0.2">
      <c r="A160" s="20"/>
      <c r="B160" s="32" t="s">
        <v>229</v>
      </c>
      <c r="C160" s="26">
        <v>21674.142500000002</v>
      </c>
      <c r="D160" s="27">
        <v>3247.7869999999998</v>
      </c>
      <c r="E160" s="28">
        <f t="shared" si="2"/>
        <v>0.14984615885034436</v>
      </c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 spans="1:24" ht="15.75" hidden="1" customHeight="1" x14ac:dyDescent="0.2">
      <c r="A161" s="20"/>
      <c r="B161" s="32" t="s">
        <v>324</v>
      </c>
      <c r="C161" s="26">
        <v>41147.504500000003</v>
      </c>
      <c r="D161" s="27">
        <v>3228.2224999999999</v>
      </c>
      <c r="E161" s="28">
        <f t="shared" si="2"/>
        <v>7.8454879323240606E-2</v>
      </c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 spans="1:24" ht="15.75" hidden="1" customHeight="1" x14ac:dyDescent="0.2">
      <c r="A162" s="20"/>
      <c r="B162" s="32" t="s">
        <v>162</v>
      </c>
      <c r="C162" s="26">
        <v>16340.718000000001</v>
      </c>
      <c r="D162" s="27">
        <v>3211.248</v>
      </c>
      <c r="E162" s="28">
        <f t="shared" si="2"/>
        <v>0.19651817013181427</v>
      </c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 spans="1:24" ht="15.75" hidden="1" customHeight="1" x14ac:dyDescent="0.2">
      <c r="A163" s="20"/>
      <c r="B163" s="32" t="s">
        <v>222</v>
      </c>
      <c r="C163" s="26">
        <v>20855.169999999998</v>
      </c>
      <c r="D163" s="27">
        <v>3206.143</v>
      </c>
      <c r="E163" s="28">
        <f t="shared" si="2"/>
        <v>0.15373372645727656</v>
      </c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 spans="1:24" ht="15.75" hidden="1" customHeight="1" x14ac:dyDescent="0.2">
      <c r="A164" s="20"/>
      <c r="B164" s="32" t="s">
        <v>250</v>
      </c>
      <c r="C164" s="26">
        <v>23934.863000000001</v>
      </c>
      <c r="D164" s="27">
        <v>3174.5679</v>
      </c>
      <c r="E164" s="28">
        <f t="shared" si="2"/>
        <v>0.13263363571372855</v>
      </c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 spans="1:24" ht="15.75" hidden="1" customHeight="1" x14ac:dyDescent="0.2">
      <c r="A165" s="20"/>
      <c r="B165" s="32" t="s">
        <v>266</v>
      </c>
      <c r="C165" s="26">
        <v>26221.429</v>
      </c>
      <c r="D165" s="27">
        <v>3162.0075000000002</v>
      </c>
      <c r="E165" s="28">
        <f t="shared" si="2"/>
        <v>0.12058867958721854</v>
      </c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 spans="1:24" ht="15.75" hidden="1" customHeight="1" x14ac:dyDescent="0.2">
      <c r="A166" s="20"/>
      <c r="B166" s="32" t="s">
        <v>294</v>
      </c>
      <c r="C166" s="26">
        <v>32227.77</v>
      </c>
      <c r="D166" s="27">
        <v>3155.7919999999999</v>
      </c>
      <c r="E166" s="28">
        <f t="shared" si="2"/>
        <v>9.7921513030532356E-2</v>
      </c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 spans="1:24" ht="15.75" hidden="1" customHeight="1" x14ac:dyDescent="0.2">
      <c r="A167" s="20"/>
      <c r="B167" s="32" t="s">
        <v>80</v>
      </c>
      <c r="C167" s="26">
        <v>11412.5645</v>
      </c>
      <c r="D167" s="27">
        <v>3132.2759999999998</v>
      </c>
      <c r="E167" s="28">
        <f t="shared" si="2"/>
        <v>0.27445855837222211</v>
      </c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 spans="1:24" ht="15.75" hidden="1" customHeight="1" x14ac:dyDescent="0.2">
      <c r="A168" s="20"/>
      <c r="B168" s="32" t="s">
        <v>65</v>
      </c>
      <c r="C168" s="26">
        <v>9613.5460000000003</v>
      </c>
      <c r="D168" s="27">
        <v>2976.2712999999999</v>
      </c>
      <c r="E168" s="28">
        <f t="shared" si="2"/>
        <v>0.3095914140318255</v>
      </c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 spans="1:24" ht="15.75" hidden="1" customHeight="1" x14ac:dyDescent="0.2">
      <c r="A169" s="20"/>
      <c r="B169" s="32" t="s">
        <v>101</v>
      </c>
      <c r="C169" s="26">
        <v>11496.88</v>
      </c>
      <c r="D169" s="27">
        <v>2871.0875000000001</v>
      </c>
      <c r="E169" s="28">
        <f t="shared" si="2"/>
        <v>0.24972753477465193</v>
      </c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 spans="1:24" ht="15.75" hidden="1" customHeight="1" x14ac:dyDescent="0.2">
      <c r="A170" s="20"/>
      <c r="B170" s="32" t="s">
        <v>353</v>
      </c>
      <c r="C170" s="26">
        <v>46356.624000000003</v>
      </c>
      <c r="D170" s="27">
        <v>2863.3319999999999</v>
      </c>
      <c r="E170" s="28">
        <f t="shared" si="2"/>
        <v>6.1767483326654667E-2</v>
      </c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 spans="1:24" ht="15.75" hidden="1" customHeight="1" x14ac:dyDescent="0.2">
      <c r="A171" s="20"/>
      <c r="B171" s="32" t="s">
        <v>130</v>
      </c>
      <c r="C171" s="26">
        <v>12714.023999999999</v>
      </c>
      <c r="D171" s="27">
        <v>2842.627</v>
      </c>
      <c r="E171" s="28">
        <f t="shared" si="2"/>
        <v>0.22358200676670109</v>
      </c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 spans="1:24" ht="15.75" hidden="1" customHeight="1" x14ac:dyDescent="0.2">
      <c r="A172" s="20"/>
      <c r="B172" s="32" t="s">
        <v>176</v>
      </c>
      <c r="C172" s="26">
        <v>14880.44</v>
      </c>
      <c r="D172" s="27">
        <v>2770.4070000000002</v>
      </c>
      <c r="E172" s="28">
        <f t="shared" si="2"/>
        <v>0.18617776087266238</v>
      </c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 spans="1:24" ht="15.75" hidden="1" customHeight="1" x14ac:dyDescent="0.2">
      <c r="A173" s="20"/>
      <c r="B173" s="32" t="s">
        <v>234</v>
      </c>
      <c r="C173" s="26">
        <v>19117.62</v>
      </c>
      <c r="D173" s="27">
        <v>2760.2739999999999</v>
      </c>
      <c r="E173" s="28">
        <f t="shared" si="2"/>
        <v>0.14438376743548623</v>
      </c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 spans="1:24" ht="15.75" hidden="1" customHeight="1" x14ac:dyDescent="0.2">
      <c r="A174" s="20"/>
      <c r="B174" s="32" t="s">
        <v>200</v>
      </c>
      <c r="C174" s="26">
        <v>15771.452499999999</v>
      </c>
      <c r="D174" s="27">
        <v>2724.5169999999998</v>
      </c>
      <c r="E174" s="28">
        <f t="shared" si="2"/>
        <v>0.17274991000353329</v>
      </c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 spans="1:24" ht="15.75" hidden="1" customHeight="1" x14ac:dyDescent="0.2">
      <c r="A175" s="20"/>
      <c r="B175" s="32" t="s">
        <v>210</v>
      </c>
      <c r="C175" s="26">
        <v>16698.471000000001</v>
      </c>
      <c r="D175" s="27">
        <v>2705.8139999999999</v>
      </c>
      <c r="E175" s="28">
        <f t="shared" si="2"/>
        <v>0.16203962626278776</v>
      </c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 spans="1:24" ht="15.75" hidden="1" customHeight="1" x14ac:dyDescent="0.2">
      <c r="A176" s="20"/>
      <c r="B176" s="32" t="s">
        <v>291</v>
      </c>
      <c r="C176" s="26">
        <v>26641.4355</v>
      </c>
      <c r="D176" s="27">
        <v>2674.3213999999998</v>
      </c>
      <c r="E176" s="28">
        <f t="shared" si="2"/>
        <v>0.10038203084064294</v>
      </c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 spans="1:24" ht="15.75" hidden="1" customHeight="1" x14ac:dyDescent="0.2">
      <c r="A177" s="20"/>
      <c r="B177" s="32" t="s">
        <v>188</v>
      </c>
      <c r="C177" s="26">
        <v>15015.4815</v>
      </c>
      <c r="D177" s="27">
        <v>2666.8595999999998</v>
      </c>
      <c r="E177" s="28">
        <f t="shared" si="2"/>
        <v>0.1776073314731865</v>
      </c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 spans="1:24" ht="15.75" hidden="1" customHeight="1" x14ac:dyDescent="0.2">
      <c r="A178" s="20"/>
      <c r="B178" s="32" t="s">
        <v>271</v>
      </c>
      <c r="C178" s="26">
        <v>22865.49</v>
      </c>
      <c r="D178" s="27">
        <v>2665.6835000000001</v>
      </c>
      <c r="E178" s="28">
        <f t="shared" si="2"/>
        <v>0.11658107917214981</v>
      </c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 spans="1:24" ht="15.75" hidden="1" customHeight="1" x14ac:dyDescent="0.2">
      <c r="A179" s="20"/>
      <c r="B179" s="32" t="s">
        <v>356</v>
      </c>
      <c r="C179" s="26">
        <v>43448.728499999997</v>
      </c>
      <c r="D179" s="27">
        <v>2633.5360999999998</v>
      </c>
      <c r="E179" s="28">
        <f t="shared" si="2"/>
        <v>6.061250100794089E-2</v>
      </c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 spans="1:24" ht="15.75" hidden="1" customHeight="1" x14ac:dyDescent="0.2">
      <c r="A180" s="20"/>
      <c r="B180" s="32" t="s">
        <v>241</v>
      </c>
      <c r="C180" s="26">
        <v>18940.96</v>
      </c>
      <c r="D180" s="27">
        <v>2628.8879999999999</v>
      </c>
      <c r="E180" s="28">
        <f t="shared" si="2"/>
        <v>0.13879380981745382</v>
      </c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 spans="1:24" ht="15.75" hidden="1" customHeight="1" x14ac:dyDescent="0.2">
      <c r="A181" s="20"/>
      <c r="B181" s="32" t="s">
        <v>268</v>
      </c>
      <c r="C181" s="26">
        <v>22352.956999999999</v>
      </c>
      <c r="D181" s="27">
        <v>2628.2719999999999</v>
      </c>
      <c r="E181" s="28">
        <f t="shared" si="2"/>
        <v>0.11758050623906269</v>
      </c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 spans="1:24" ht="15.75" hidden="1" customHeight="1" x14ac:dyDescent="0.2">
      <c r="A182" s="20"/>
      <c r="B182" s="32" t="s">
        <v>202</v>
      </c>
      <c r="C182" s="26">
        <v>15606.387500000001</v>
      </c>
      <c r="D182" s="27">
        <v>2627.3789999999999</v>
      </c>
      <c r="E182" s="28">
        <f t="shared" si="2"/>
        <v>0.16835279785280224</v>
      </c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 spans="1:24" ht="15.75" hidden="1" customHeight="1" x14ac:dyDescent="0.2">
      <c r="A183" s="20"/>
      <c r="B183" s="32" t="s">
        <v>258</v>
      </c>
      <c r="C183" s="26">
        <v>20669.747500000001</v>
      </c>
      <c r="D183" s="27">
        <v>2603.4324999999999</v>
      </c>
      <c r="E183" s="28">
        <f t="shared" si="2"/>
        <v>0.12595376406992875</v>
      </c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 spans="1:24" ht="15.75" hidden="1" customHeight="1" x14ac:dyDescent="0.2">
      <c r="A184" s="20"/>
      <c r="B184" s="32" t="s">
        <v>121</v>
      </c>
      <c r="C184" s="26">
        <v>11130.57</v>
      </c>
      <c r="D184" s="27">
        <v>2577.52</v>
      </c>
      <c r="E184" s="28">
        <f t="shared" si="2"/>
        <v>0.23157124927115144</v>
      </c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 spans="1:24" ht="15.75" hidden="1" customHeight="1" x14ac:dyDescent="0.2">
      <c r="A185" s="20"/>
      <c r="B185" s="32" t="s">
        <v>197</v>
      </c>
      <c r="C185" s="26">
        <v>14732.8045</v>
      </c>
      <c r="D185" s="27">
        <v>2567.6565000000001</v>
      </c>
      <c r="E185" s="28">
        <f t="shared" si="2"/>
        <v>0.17428158365910579</v>
      </c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 spans="1:24" ht="15.75" hidden="1" customHeight="1" x14ac:dyDescent="0.2">
      <c r="A186" s="20"/>
      <c r="B186" s="32" t="s">
        <v>177</v>
      </c>
      <c r="C186" s="26">
        <v>13754.95</v>
      </c>
      <c r="D186" s="27">
        <v>2551.6194999999998</v>
      </c>
      <c r="E186" s="28">
        <f t="shared" si="2"/>
        <v>0.18550554527642774</v>
      </c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 spans="1:24" ht="15.75" hidden="1" customHeight="1" x14ac:dyDescent="0.2">
      <c r="A187" s="20"/>
      <c r="B187" s="32" t="s">
        <v>348</v>
      </c>
      <c r="C187" s="26">
        <v>40098.213000000003</v>
      </c>
      <c r="D187" s="27">
        <v>2533.6185</v>
      </c>
      <c r="E187" s="28">
        <f t="shared" si="2"/>
        <v>6.3185321999262162E-2</v>
      </c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 spans="1:24" ht="15.75" hidden="1" customHeight="1" x14ac:dyDescent="0.2">
      <c r="A188" s="20"/>
      <c r="B188" s="32" t="s">
        <v>85</v>
      </c>
      <c r="C188" s="26">
        <v>9464.92</v>
      </c>
      <c r="D188" s="27">
        <v>2532.355</v>
      </c>
      <c r="E188" s="28">
        <f t="shared" si="2"/>
        <v>0.26755165389670488</v>
      </c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 spans="1:24" ht="15.75" hidden="1" customHeight="1" x14ac:dyDescent="0.2">
      <c r="A189" s="20"/>
      <c r="B189" s="32" t="s">
        <v>129</v>
      </c>
      <c r="C189" s="26">
        <v>10771.74</v>
      </c>
      <c r="D189" s="27">
        <v>2416.1999999999998</v>
      </c>
      <c r="E189" s="28">
        <f t="shared" si="2"/>
        <v>0.22430916453609165</v>
      </c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 spans="1:24" ht="15.75" hidden="1" customHeight="1" x14ac:dyDescent="0.2">
      <c r="A190" s="20"/>
      <c r="B190" s="32" t="s">
        <v>264</v>
      </c>
      <c r="C190" s="26">
        <v>19653.526999999998</v>
      </c>
      <c r="D190" s="27">
        <v>2407.4409999999998</v>
      </c>
      <c r="E190" s="28">
        <f t="shared" si="2"/>
        <v>0.12249409482582949</v>
      </c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 spans="1:24" ht="15.75" hidden="1" customHeight="1" x14ac:dyDescent="0.2">
      <c r="A191" s="20"/>
      <c r="B191" s="32" t="s">
        <v>247</v>
      </c>
      <c r="C191" s="26">
        <v>17754.448499999999</v>
      </c>
      <c r="D191" s="27">
        <v>2391.2350000000001</v>
      </c>
      <c r="E191" s="28">
        <f t="shared" si="2"/>
        <v>0.13468371039517224</v>
      </c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 spans="1:24" ht="15.75" hidden="1" customHeight="1" x14ac:dyDescent="0.2">
      <c r="A192" s="20"/>
      <c r="B192" s="32" t="s">
        <v>111</v>
      </c>
      <c r="C192" s="26">
        <v>10062.341</v>
      </c>
      <c r="D192" s="27">
        <v>2388.748</v>
      </c>
      <c r="E192" s="28">
        <f t="shared" si="2"/>
        <v>0.23739485672369878</v>
      </c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 spans="1:24" ht="15.75" hidden="1" customHeight="1" x14ac:dyDescent="0.2">
      <c r="A193" s="20"/>
      <c r="B193" s="32" t="s">
        <v>373</v>
      </c>
      <c r="C193" s="26">
        <v>55529.041499999999</v>
      </c>
      <c r="D193" s="27">
        <v>2350.6569</v>
      </c>
      <c r="E193" s="28">
        <f t="shared" si="2"/>
        <v>4.2332027287018813E-2</v>
      </c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 spans="1:24" ht="15.75" hidden="1" customHeight="1" x14ac:dyDescent="0.2">
      <c r="A194" s="20"/>
      <c r="B194" s="32" t="s">
        <v>127</v>
      </c>
      <c r="C194" s="26">
        <v>10441.107</v>
      </c>
      <c r="D194" s="27">
        <v>2349.5837999999999</v>
      </c>
      <c r="E194" s="28">
        <f t="shared" si="2"/>
        <v>0.22503205838231519</v>
      </c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 spans="1:24" ht="15.75" hidden="1" customHeight="1" x14ac:dyDescent="0.2">
      <c r="A195" s="20"/>
      <c r="B195" s="32" t="s">
        <v>330</v>
      </c>
      <c r="C195" s="26">
        <v>31901.644499999999</v>
      </c>
      <c r="D195" s="27">
        <v>2343.2044999999998</v>
      </c>
      <c r="E195" s="28">
        <f t="shared" si="2"/>
        <v>7.3450899999841696E-2</v>
      </c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 spans="1:24" ht="15.75" hidden="1" customHeight="1" x14ac:dyDescent="0.2">
      <c r="A196" s="20"/>
      <c r="B196" s="32" t="s">
        <v>367</v>
      </c>
      <c r="C196" s="26">
        <v>46412.485500000003</v>
      </c>
      <c r="D196" s="27">
        <v>2289.5299</v>
      </c>
      <c r="E196" s="28">
        <f t="shared" ref="E196:E259" si="3">D196/C196</f>
        <v>4.9330042882534265E-2</v>
      </c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 spans="1:24" ht="15.75" hidden="1" customHeight="1" x14ac:dyDescent="0.2">
      <c r="A197" s="20"/>
      <c r="B197" s="32" t="s">
        <v>307</v>
      </c>
      <c r="C197" s="26">
        <v>25261.231</v>
      </c>
      <c r="D197" s="27">
        <v>2266.1039999999998</v>
      </c>
      <c r="E197" s="28">
        <f t="shared" si="3"/>
        <v>8.9706792198685797E-2</v>
      </c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 spans="1:24" ht="15.75" hidden="1" customHeight="1" x14ac:dyDescent="0.2">
      <c r="A198" s="20"/>
      <c r="B198" s="32" t="s">
        <v>187</v>
      </c>
      <c r="C198" s="26">
        <v>12676.684499999999</v>
      </c>
      <c r="D198" s="27">
        <v>2258.779</v>
      </c>
      <c r="E198" s="28">
        <f t="shared" si="3"/>
        <v>0.17818373566053491</v>
      </c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 spans="1:24" ht="15.75" hidden="1" customHeight="1" x14ac:dyDescent="0.2">
      <c r="A199" s="20"/>
      <c r="B199" s="32" t="s">
        <v>108</v>
      </c>
      <c r="C199" s="26">
        <v>8948.9</v>
      </c>
      <c r="D199" s="27">
        <v>2193.25</v>
      </c>
      <c r="E199" s="28">
        <f t="shared" si="3"/>
        <v>0.24508598822201613</v>
      </c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 spans="1:24" ht="15.75" hidden="1" customHeight="1" x14ac:dyDescent="0.2">
      <c r="A200" s="20"/>
      <c r="B200" s="32" t="s">
        <v>323</v>
      </c>
      <c r="C200" s="26">
        <v>27225.415499999999</v>
      </c>
      <c r="D200" s="27">
        <v>2155.7485000000001</v>
      </c>
      <c r="E200" s="28">
        <f t="shared" si="3"/>
        <v>7.9181472914527248E-2</v>
      </c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 spans="1:24" ht="15.75" hidden="1" customHeight="1" x14ac:dyDescent="0.2">
      <c r="A201" s="20"/>
      <c r="B201" s="32" t="s">
        <v>283</v>
      </c>
      <c r="C201" s="26">
        <v>19881.573499999999</v>
      </c>
      <c r="D201" s="27">
        <v>2142.8261000000002</v>
      </c>
      <c r="E201" s="28">
        <f t="shared" si="3"/>
        <v>0.1077795024624183</v>
      </c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 spans="1:24" ht="15.75" hidden="1" customHeight="1" x14ac:dyDescent="0.2">
      <c r="A202" s="20"/>
      <c r="B202" s="32" t="s">
        <v>120</v>
      </c>
      <c r="C202" s="26">
        <v>9168.1</v>
      </c>
      <c r="D202" s="27">
        <v>2125.3175000000001</v>
      </c>
      <c r="E202" s="28">
        <f t="shared" si="3"/>
        <v>0.23181657049988547</v>
      </c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 spans="1:24" ht="15.75" hidden="1" customHeight="1" x14ac:dyDescent="0.2">
      <c r="A203" s="20"/>
      <c r="B203" s="32" t="s">
        <v>196</v>
      </c>
      <c r="C203" s="26">
        <v>11955.971</v>
      </c>
      <c r="D203" s="27">
        <v>2085.8609999999999</v>
      </c>
      <c r="E203" s="28">
        <f t="shared" si="3"/>
        <v>0.17446186512161999</v>
      </c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 spans="1:24" ht="15.75" hidden="1" customHeight="1" x14ac:dyDescent="0.2">
      <c r="A204" s="20"/>
      <c r="B204" s="32" t="s">
        <v>270</v>
      </c>
      <c r="C204" s="26">
        <v>17516.612000000001</v>
      </c>
      <c r="D204" s="27">
        <v>2052.13</v>
      </c>
      <c r="E204" s="28">
        <f t="shared" si="3"/>
        <v>0.11715336276215971</v>
      </c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 spans="1:24" ht="15.75" hidden="1" customHeight="1" x14ac:dyDescent="0.2">
      <c r="A205" s="20"/>
      <c r="B205" s="32" t="s">
        <v>375</v>
      </c>
      <c r="C205" s="26">
        <v>52608.143499999998</v>
      </c>
      <c r="D205" s="27">
        <v>2015.963</v>
      </c>
      <c r="E205" s="28">
        <f t="shared" si="3"/>
        <v>3.8320360040836644E-2</v>
      </c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 spans="1:24" ht="15.75" hidden="1" customHeight="1" x14ac:dyDescent="0.2">
      <c r="A206" s="20"/>
      <c r="B206" s="32" t="s">
        <v>198</v>
      </c>
      <c r="C206" s="26">
        <v>11429.126</v>
      </c>
      <c r="D206" s="27">
        <v>1987.8924999999999</v>
      </c>
      <c r="E206" s="28">
        <f t="shared" si="3"/>
        <v>0.17393215369224208</v>
      </c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 spans="1:24" ht="15.75" hidden="1" customHeight="1" x14ac:dyDescent="0.2">
      <c r="A207" s="20"/>
      <c r="B207" s="32" t="s">
        <v>299</v>
      </c>
      <c r="C207" s="26">
        <v>21347.359499999999</v>
      </c>
      <c r="D207" s="27">
        <v>1986.2661000000001</v>
      </c>
      <c r="E207" s="28">
        <f t="shared" si="3"/>
        <v>9.3045048498855337E-2</v>
      </c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 spans="1:24" ht="15.75" hidden="1" customHeight="1" x14ac:dyDescent="0.2">
      <c r="A208" s="20"/>
      <c r="B208" s="32" t="s">
        <v>335</v>
      </c>
      <c r="C208" s="26">
        <v>28056.862000000001</v>
      </c>
      <c r="D208" s="27">
        <v>1970.3994</v>
      </c>
      <c r="E208" s="28">
        <f t="shared" si="3"/>
        <v>7.0228787524420938E-2</v>
      </c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 spans="1:24" ht="15.75" hidden="1" customHeight="1" x14ac:dyDescent="0.2">
      <c r="A209" s="20"/>
      <c r="B209" s="32" t="s">
        <v>355</v>
      </c>
      <c r="C209" s="26">
        <v>31509.593000000001</v>
      </c>
      <c r="D209" s="27">
        <v>1910.953</v>
      </c>
      <c r="E209" s="28">
        <f t="shared" si="3"/>
        <v>6.0646705274803134E-2</v>
      </c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 spans="1:24" ht="15.75" hidden="1" customHeight="1" x14ac:dyDescent="0.2">
      <c r="A210" s="20"/>
      <c r="B210" s="32" t="s">
        <v>371</v>
      </c>
      <c r="C210" s="26">
        <v>44031.366499999996</v>
      </c>
      <c r="D210" s="27">
        <v>1908.3903</v>
      </c>
      <c r="E210" s="28">
        <f t="shared" si="3"/>
        <v>4.3341609668189611E-2</v>
      </c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 spans="1:24" ht="15.75" hidden="1" customHeight="1" x14ac:dyDescent="0.2">
      <c r="A211" s="20"/>
      <c r="B211" s="32" t="s">
        <v>297</v>
      </c>
      <c r="C211" s="26">
        <v>20228.067999999999</v>
      </c>
      <c r="D211" s="27">
        <v>1900.7791</v>
      </c>
      <c r="E211" s="28">
        <f t="shared" si="3"/>
        <v>9.3967407070215503E-2</v>
      </c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 spans="1:24" ht="15.75" hidden="1" customHeight="1" x14ac:dyDescent="0.2">
      <c r="A212" s="20"/>
      <c r="B212" s="32" t="s">
        <v>203</v>
      </c>
      <c r="C212" s="26">
        <v>11401.7875</v>
      </c>
      <c r="D212" s="27">
        <v>1897.68</v>
      </c>
      <c r="E212" s="28">
        <f t="shared" si="3"/>
        <v>0.16643706085558954</v>
      </c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 spans="1:24" ht="15.75" hidden="1" customHeight="1" x14ac:dyDescent="0.2">
      <c r="A213" s="20"/>
      <c r="B213" s="32" t="s">
        <v>87</v>
      </c>
      <c r="C213" s="26">
        <v>7106.8334999999997</v>
      </c>
      <c r="D213" s="27">
        <v>1886.0934999999999</v>
      </c>
      <c r="E213" s="28">
        <f t="shared" si="3"/>
        <v>0.26539154181675989</v>
      </c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 spans="1:24" ht="15.75" hidden="1" customHeight="1" x14ac:dyDescent="0.2">
      <c r="A214" s="20"/>
      <c r="B214" s="32" t="s">
        <v>326</v>
      </c>
      <c r="C214" s="26">
        <v>24293.417000000001</v>
      </c>
      <c r="D214" s="27">
        <v>1870.165</v>
      </c>
      <c r="E214" s="28">
        <f t="shared" si="3"/>
        <v>7.6982377571668897E-2</v>
      </c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 spans="1:24" ht="15.75" hidden="1" customHeight="1" x14ac:dyDescent="0.2">
      <c r="A215" s="20"/>
      <c r="B215" s="32" t="s">
        <v>341</v>
      </c>
      <c r="C215" s="26">
        <v>27809.001499999998</v>
      </c>
      <c r="D215" s="27">
        <v>1847.2928999999999</v>
      </c>
      <c r="E215" s="28">
        <f t="shared" si="3"/>
        <v>6.6427875880405121E-2</v>
      </c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 spans="1:24" ht="15.75" hidden="1" customHeight="1" x14ac:dyDescent="0.2">
      <c r="A216" s="20"/>
      <c r="B216" s="32" t="s">
        <v>60</v>
      </c>
      <c r="C216" s="26">
        <v>5109.6499999999996</v>
      </c>
      <c r="D216" s="27">
        <v>1831.73</v>
      </c>
      <c r="E216" s="28">
        <f t="shared" si="3"/>
        <v>0.35848443631168481</v>
      </c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 spans="1:24" ht="15.75" hidden="1" customHeight="1" x14ac:dyDescent="0.2">
      <c r="A217" s="20"/>
      <c r="B217" s="32" t="s">
        <v>100</v>
      </c>
      <c r="C217" s="26">
        <v>7329.51</v>
      </c>
      <c r="D217" s="27">
        <v>1831.22</v>
      </c>
      <c r="E217" s="28">
        <f t="shared" si="3"/>
        <v>0.24984207675547204</v>
      </c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 spans="1:24" ht="15.75" hidden="1" customHeight="1" x14ac:dyDescent="0.2">
      <c r="A218" s="20"/>
      <c r="B218" s="32" t="s">
        <v>255</v>
      </c>
      <c r="C218" s="26">
        <v>14123.657999999999</v>
      </c>
      <c r="D218" s="27">
        <v>1793.6648</v>
      </c>
      <c r="E218" s="28">
        <f t="shared" si="3"/>
        <v>0.12699718444046154</v>
      </c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 spans="1:24" ht="15.75" hidden="1" customHeight="1" x14ac:dyDescent="0.2">
      <c r="A219" s="20"/>
      <c r="B219" s="32" t="s">
        <v>182</v>
      </c>
      <c r="C219" s="26">
        <v>9792.6170000000002</v>
      </c>
      <c r="D219" s="27">
        <v>1765.087</v>
      </c>
      <c r="E219" s="28">
        <f t="shared" si="3"/>
        <v>0.18024671035332027</v>
      </c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 spans="1:24" ht="15.75" hidden="1" customHeight="1" x14ac:dyDescent="0.2">
      <c r="A220" s="20"/>
      <c r="B220" s="32" t="s">
        <v>289</v>
      </c>
      <c r="C220" s="26">
        <v>16754.6895</v>
      </c>
      <c r="D220" s="27">
        <v>1718.4545000000001</v>
      </c>
      <c r="E220" s="28">
        <f t="shared" si="3"/>
        <v>0.10256558320582426</v>
      </c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 spans="1:24" ht="15.75" hidden="1" customHeight="1" x14ac:dyDescent="0.2">
      <c r="A221" s="20"/>
      <c r="B221" s="32" t="s">
        <v>386</v>
      </c>
      <c r="C221" s="26">
        <v>52330.592499999999</v>
      </c>
      <c r="D221" s="27">
        <v>1694.7619</v>
      </c>
      <c r="E221" s="28">
        <f t="shared" si="3"/>
        <v>3.2385681473031287E-2</v>
      </c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 spans="1:24" ht="15.75" hidden="1" customHeight="1" x14ac:dyDescent="0.2">
      <c r="A222" s="20"/>
      <c r="B222" s="32" t="s">
        <v>292</v>
      </c>
      <c r="C222" s="26">
        <v>17148.509999999998</v>
      </c>
      <c r="D222" s="27">
        <v>1693.701</v>
      </c>
      <c r="E222" s="28">
        <f t="shared" si="3"/>
        <v>9.8766656694954852E-2</v>
      </c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</row>
    <row r="223" spans="1:24" ht="15.75" hidden="1" customHeight="1" x14ac:dyDescent="0.2">
      <c r="A223" s="20"/>
      <c r="B223" s="32" t="s">
        <v>243</v>
      </c>
      <c r="C223" s="26">
        <v>12169.88</v>
      </c>
      <c r="D223" s="27">
        <v>1683.77</v>
      </c>
      <c r="E223" s="28">
        <f t="shared" si="3"/>
        <v>0.13835551377663544</v>
      </c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</row>
    <row r="224" spans="1:24" ht="15.75" hidden="1" customHeight="1" x14ac:dyDescent="0.2">
      <c r="A224" s="20"/>
      <c r="B224" s="32" t="s">
        <v>402</v>
      </c>
      <c r="C224" s="26">
        <v>99714.748999999996</v>
      </c>
      <c r="D224" s="27">
        <v>1616.3087</v>
      </c>
      <c r="E224" s="28">
        <f t="shared" si="3"/>
        <v>1.6209324259543592E-2</v>
      </c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 spans="1:24" ht="15.75" hidden="1" customHeight="1" x14ac:dyDescent="0.2">
      <c r="A225" s="20"/>
      <c r="B225" s="32" t="s">
        <v>272</v>
      </c>
      <c r="C225" s="26">
        <v>13981.373</v>
      </c>
      <c r="D225" s="27">
        <v>1598.2055</v>
      </c>
      <c r="E225" s="28">
        <f t="shared" si="3"/>
        <v>0.11430962466990903</v>
      </c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</row>
    <row r="226" spans="1:24" ht="15.75" hidden="1" customHeight="1" x14ac:dyDescent="0.2">
      <c r="A226" s="20"/>
      <c r="B226" s="32" t="s">
        <v>284</v>
      </c>
      <c r="C226" s="26">
        <v>15006.4295</v>
      </c>
      <c r="D226" s="27">
        <v>1597.2833000000001</v>
      </c>
      <c r="E226" s="28">
        <f t="shared" si="3"/>
        <v>0.10643992963149562</v>
      </c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</row>
    <row r="227" spans="1:24" ht="15.75" hidden="1" customHeight="1" x14ac:dyDescent="0.2">
      <c r="A227" s="20"/>
      <c r="B227" s="32" t="s">
        <v>364</v>
      </c>
      <c r="C227" s="26">
        <v>31229.498</v>
      </c>
      <c r="D227" s="27">
        <v>1586.7469000000001</v>
      </c>
      <c r="E227" s="28">
        <f t="shared" si="3"/>
        <v>5.0809234909891927E-2</v>
      </c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</row>
    <row r="228" spans="1:24" ht="15.75" hidden="1" customHeight="1" x14ac:dyDescent="0.2">
      <c r="A228" s="20"/>
      <c r="B228" s="32" t="s">
        <v>154</v>
      </c>
      <c r="C228" s="26">
        <v>7689.56</v>
      </c>
      <c r="D228" s="27">
        <v>1582.0170000000001</v>
      </c>
      <c r="E228" s="28">
        <f t="shared" si="3"/>
        <v>0.20573569879160836</v>
      </c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</row>
    <row r="229" spans="1:24" ht="15.75" hidden="1" customHeight="1" x14ac:dyDescent="0.2">
      <c r="A229" s="20"/>
      <c r="B229" s="32" t="s">
        <v>136</v>
      </c>
      <c r="C229" s="26">
        <v>7266.0635000000002</v>
      </c>
      <c r="D229" s="27">
        <v>1575.28</v>
      </c>
      <c r="E229" s="28">
        <f t="shared" si="3"/>
        <v>0.2167996467413201</v>
      </c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</row>
    <row r="230" spans="1:24" ht="15.75" hidden="1" customHeight="1" x14ac:dyDescent="0.2">
      <c r="A230" s="20"/>
      <c r="B230" s="32" t="s">
        <v>245</v>
      </c>
      <c r="C230" s="26">
        <v>11469.775</v>
      </c>
      <c r="D230" s="27">
        <v>1571.087</v>
      </c>
      <c r="E230" s="28">
        <f t="shared" si="3"/>
        <v>0.13697627024069783</v>
      </c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</row>
    <row r="231" spans="1:24" ht="15.75" hidden="1" customHeight="1" x14ac:dyDescent="0.2">
      <c r="A231" s="20"/>
      <c r="B231" s="32" t="s">
        <v>389</v>
      </c>
      <c r="C231" s="26">
        <v>50824.266000000003</v>
      </c>
      <c r="D231" s="27">
        <v>1563.4924000000001</v>
      </c>
      <c r="E231" s="28">
        <f t="shared" si="3"/>
        <v>3.0762714802413476E-2</v>
      </c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</row>
    <row r="232" spans="1:24" ht="15.75" hidden="1" customHeight="1" x14ac:dyDescent="0.2">
      <c r="A232" s="20"/>
      <c r="B232" s="32" t="s">
        <v>366</v>
      </c>
      <c r="C232" s="26">
        <v>29473.162</v>
      </c>
      <c r="D232" s="27">
        <v>1491.1139000000001</v>
      </c>
      <c r="E232" s="28">
        <f t="shared" si="3"/>
        <v>5.0592260850736002E-2</v>
      </c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</row>
    <row r="233" spans="1:24" ht="15.75" hidden="1" customHeight="1" x14ac:dyDescent="0.2">
      <c r="A233" s="20"/>
      <c r="B233" s="32" t="s">
        <v>213</v>
      </c>
      <c r="C233" s="26">
        <v>9253.3490000000002</v>
      </c>
      <c r="D233" s="27">
        <v>1473.4514999999999</v>
      </c>
      <c r="E233" s="28">
        <f t="shared" si="3"/>
        <v>0.15923440259305036</v>
      </c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</row>
    <row r="234" spans="1:24" ht="15.75" hidden="1" customHeight="1" x14ac:dyDescent="0.2">
      <c r="A234" s="20"/>
      <c r="B234" s="32" t="s">
        <v>320</v>
      </c>
      <c r="C234" s="26">
        <v>18017.249</v>
      </c>
      <c r="D234" s="27">
        <v>1468.3264999999999</v>
      </c>
      <c r="E234" s="28">
        <f t="shared" si="3"/>
        <v>8.1495599022914089E-2</v>
      </c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</row>
    <row r="235" spans="1:24" ht="15.75" hidden="1" customHeight="1" x14ac:dyDescent="0.2">
      <c r="A235" s="20"/>
      <c r="B235" s="32" t="s">
        <v>365</v>
      </c>
      <c r="C235" s="26">
        <v>28662.121999999999</v>
      </c>
      <c r="D235" s="27">
        <v>1453.471</v>
      </c>
      <c r="E235" s="28">
        <f t="shared" si="3"/>
        <v>5.0710516129964141E-2</v>
      </c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</row>
    <row r="236" spans="1:24" ht="15.75" hidden="1" customHeight="1" x14ac:dyDescent="0.2">
      <c r="A236" s="20"/>
      <c r="B236" s="32" t="s">
        <v>357</v>
      </c>
      <c r="C236" s="26">
        <v>23598.120500000001</v>
      </c>
      <c r="D236" s="27">
        <v>1428.143</v>
      </c>
      <c r="E236" s="28">
        <f t="shared" si="3"/>
        <v>6.05193536493722E-2</v>
      </c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</row>
    <row r="237" spans="1:24" ht="15.75" hidden="1" customHeight="1" x14ac:dyDescent="0.2">
      <c r="A237" s="20"/>
      <c r="B237" s="32" t="s">
        <v>254</v>
      </c>
      <c r="C237" s="26">
        <v>10956.6875</v>
      </c>
      <c r="D237" s="27">
        <v>1402.297</v>
      </c>
      <c r="E237" s="28">
        <f t="shared" si="3"/>
        <v>0.12798548831478493</v>
      </c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</row>
    <row r="238" spans="1:24" ht="15.75" hidden="1" customHeight="1" x14ac:dyDescent="0.2">
      <c r="A238" s="20"/>
      <c r="B238" s="32" t="s">
        <v>281</v>
      </c>
      <c r="C238" s="26">
        <v>12911.855</v>
      </c>
      <c r="D238" s="27">
        <v>1400.6514999999999</v>
      </c>
      <c r="E238" s="28">
        <f t="shared" si="3"/>
        <v>0.10847794526812762</v>
      </c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</row>
    <row r="239" spans="1:24" ht="15.75" hidden="1" customHeight="1" x14ac:dyDescent="0.2">
      <c r="A239" s="20"/>
      <c r="B239" s="32" t="s">
        <v>158</v>
      </c>
      <c r="C239" s="26">
        <v>6913.04</v>
      </c>
      <c r="D239" s="27">
        <v>1396.1179999999999</v>
      </c>
      <c r="E239" s="28">
        <f t="shared" si="3"/>
        <v>0.20195427771284413</v>
      </c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</row>
    <row r="240" spans="1:24" ht="15.75" hidden="1" customHeight="1" x14ac:dyDescent="0.2">
      <c r="A240" s="20"/>
      <c r="B240" s="32" t="s">
        <v>109</v>
      </c>
      <c r="C240" s="26">
        <v>5580.16</v>
      </c>
      <c r="D240" s="27">
        <v>1362.93</v>
      </c>
      <c r="E240" s="28">
        <f t="shared" si="3"/>
        <v>0.2442456847115495</v>
      </c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</row>
    <row r="241" spans="1:24" ht="15.75" hidden="1" customHeight="1" x14ac:dyDescent="0.2">
      <c r="A241" s="20"/>
      <c r="B241" s="32" t="s">
        <v>52</v>
      </c>
      <c r="C241" s="26">
        <v>2455.54</v>
      </c>
      <c r="D241" s="27">
        <v>1361.88</v>
      </c>
      <c r="E241" s="28">
        <f t="shared" si="3"/>
        <v>0.55461527810583422</v>
      </c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</row>
    <row r="242" spans="1:24" ht="15.75" hidden="1" customHeight="1" x14ac:dyDescent="0.2">
      <c r="A242" s="20"/>
      <c r="B242" s="32" t="s">
        <v>407</v>
      </c>
      <c r="C242" s="26">
        <v>97182.206999999995</v>
      </c>
      <c r="D242" s="27">
        <v>1303.5890999999999</v>
      </c>
      <c r="E242" s="28">
        <f t="shared" si="3"/>
        <v>1.341386597651564E-2</v>
      </c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</row>
    <row r="243" spans="1:24" ht="15.75" hidden="1" customHeight="1" x14ac:dyDescent="0.2">
      <c r="A243" s="20"/>
      <c r="B243" s="32" t="s">
        <v>321</v>
      </c>
      <c r="C243" s="26">
        <v>16269.646000000001</v>
      </c>
      <c r="D243" s="27">
        <v>1302.8900000000001</v>
      </c>
      <c r="E243" s="28">
        <f t="shared" si="3"/>
        <v>8.0081029421291652E-2</v>
      </c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</row>
    <row r="244" spans="1:24" ht="15.75" hidden="1" customHeight="1" x14ac:dyDescent="0.2">
      <c r="A244" s="20"/>
      <c r="B244" s="32" t="s">
        <v>304</v>
      </c>
      <c r="C244" s="26">
        <v>13841.18</v>
      </c>
      <c r="D244" s="27">
        <v>1278.8454999999999</v>
      </c>
      <c r="E244" s="28">
        <f t="shared" si="3"/>
        <v>9.2394253958116276E-2</v>
      </c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</row>
    <row r="245" spans="1:24" ht="15.75" hidden="1" customHeight="1" x14ac:dyDescent="0.2">
      <c r="A245" s="20"/>
      <c r="B245" s="32" t="s">
        <v>105</v>
      </c>
      <c r="C245" s="26">
        <v>5115.9274999999998</v>
      </c>
      <c r="D245" s="27">
        <v>1261.636</v>
      </c>
      <c r="E245" s="28">
        <f t="shared" si="3"/>
        <v>0.24660943690073794</v>
      </c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</row>
    <row r="246" spans="1:24" ht="15.75" hidden="1" customHeight="1" x14ac:dyDescent="0.2">
      <c r="A246" s="20"/>
      <c r="B246" s="32" t="s">
        <v>379</v>
      </c>
      <c r="C246" s="26">
        <v>35065.504000000001</v>
      </c>
      <c r="D246" s="27">
        <v>1255.191</v>
      </c>
      <c r="E246" s="28">
        <f t="shared" si="3"/>
        <v>3.5795606987425593E-2</v>
      </c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</row>
    <row r="247" spans="1:24" ht="15.75" hidden="1" customHeight="1" x14ac:dyDescent="0.2">
      <c r="A247" s="20"/>
      <c r="B247" s="32" t="s">
        <v>337</v>
      </c>
      <c r="C247" s="26">
        <v>17940.98</v>
      </c>
      <c r="D247" s="27">
        <v>1240.8465000000001</v>
      </c>
      <c r="E247" s="28">
        <f t="shared" si="3"/>
        <v>6.9162693453757834E-2</v>
      </c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</row>
    <row r="248" spans="1:24" ht="15.75" hidden="1" customHeight="1" x14ac:dyDescent="0.2">
      <c r="A248" s="20"/>
      <c r="B248" s="32" t="s">
        <v>220</v>
      </c>
      <c r="C248" s="26">
        <v>7974.66</v>
      </c>
      <c r="D248" s="27">
        <v>1232.8599999999999</v>
      </c>
      <c r="E248" s="28">
        <f t="shared" si="3"/>
        <v>0.15459718658851912</v>
      </c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</row>
    <row r="249" spans="1:24" ht="15.75" hidden="1" customHeight="1" x14ac:dyDescent="0.2">
      <c r="A249" s="20"/>
      <c r="B249" s="32" t="s">
        <v>181</v>
      </c>
      <c r="C249" s="26">
        <v>6587.7359999999999</v>
      </c>
      <c r="D249" s="27">
        <v>1197.644</v>
      </c>
      <c r="E249" s="28">
        <f t="shared" si="3"/>
        <v>0.18179902776917595</v>
      </c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</row>
    <row r="250" spans="1:24" ht="15.75" hidden="1" customHeight="1" x14ac:dyDescent="0.2">
      <c r="A250" s="20"/>
      <c r="B250" s="32" t="s">
        <v>368</v>
      </c>
      <c r="C250" s="26">
        <v>25114.123500000002</v>
      </c>
      <c r="D250" s="27">
        <v>1182.5071</v>
      </c>
      <c r="E250" s="28">
        <f t="shared" si="3"/>
        <v>4.7085342237804952E-2</v>
      </c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</row>
    <row r="251" spans="1:24" ht="15.75" hidden="1" customHeight="1" x14ac:dyDescent="0.2">
      <c r="A251" s="20"/>
      <c r="B251" s="32" t="s">
        <v>303</v>
      </c>
      <c r="C251" s="26">
        <v>12508.7055</v>
      </c>
      <c r="D251" s="27">
        <v>1157.9380000000001</v>
      </c>
      <c r="E251" s="28">
        <f t="shared" si="3"/>
        <v>9.2570570152123263E-2</v>
      </c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</row>
    <row r="252" spans="1:24" ht="15.75" hidden="1" customHeight="1" x14ac:dyDescent="0.2">
      <c r="A252" s="20"/>
      <c r="B252" s="32" t="s">
        <v>308</v>
      </c>
      <c r="C252" s="26">
        <v>12614.499</v>
      </c>
      <c r="D252" s="27">
        <v>1127.3320000000001</v>
      </c>
      <c r="E252" s="28">
        <f t="shared" si="3"/>
        <v>8.9367956666372567E-2</v>
      </c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</row>
    <row r="253" spans="1:24" ht="15.75" hidden="1" customHeight="1" x14ac:dyDescent="0.2">
      <c r="A253" s="20"/>
      <c r="B253" s="32" t="s">
        <v>209</v>
      </c>
      <c r="C253" s="26">
        <v>6889.54</v>
      </c>
      <c r="D253" s="27">
        <v>1126.05</v>
      </c>
      <c r="E253" s="28">
        <f t="shared" si="3"/>
        <v>0.163443422928091</v>
      </c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</row>
    <row r="254" spans="1:24" ht="15.75" hidden="1" customHeight="1" x14ac:dyDescent="0.2">
      <c r="A254" s="20"/>
      <c r="B254" s="32" t="s">
        <v>376</v>
      </c>
      <c r="C254" s="26">
        <v>29312.6715</v>
      </c>
      <c r="D254" s="27">
        <v>1121.3896</v>
      </c>
      <c r="E254" s="28">
        <f t="shared" si="3"/>
        <v>3.8256137793513632E-2</v>
      </c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</row>
    <row r="255" spans="1:24" ht="15.75" hidden="1" customHeight="1" x14ac:dyDescent="0.2">
      <c r="A255" s="20"/>
      <c r="B255" s="32" t="s">
        <v>276</v>
      </c>
      <c r="C255" s="26">
        <v>10021.916999999999</v>
      </c>
      <c r="D255" s="27">
        <v>1118.2565</v>
      </c>
      <c r="E255" s="28">
        <f t="shared" si="3"/>
        <v>0.11158109770815304</v>
      </c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</row>
    <row r="256" spans="1:24" ht="15.75" hidden="1" customHeight="1" x14ac:dyDescent="0.2">
      <c r="A256" s="20"/>
      <c r="B256" s="32" t="s">
        <v>385</v>
      </c>
      <c r="C256" s="26">
        <v>33141.987999999998</v>
      </c>
      <c r="D256" s="27">
        <v>1113.9756</v>
      </c>
      <c r="E256" s="28">
        <f t="shared" si="3"/>
        <v>3.3612214209962299E-2</v>
      </c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</row>
    <row r="257" spans="1:24" ht="15.75" hidden="1" customHeight="1" x14ac:dyDescent="0.2">
      <c r="A257" s="20"/>
      <c r="B257" s="32" t="s">
        <v>265</v>
      </c>
      <c r="C257" s="26">
        <v>9086.8744999999999</v>
      </c>
      <c r="D257" s="27">
        <v>1107.1369999999999</v>
      </c>
      <c r="E257" s="28">
        <f t="shared" si="3"/>
        <v>0.12183914282077957</v>
      </c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</row>
    <row r="258" spans="1:24" ht="15.75" hidden="1" customHeight="1" x14ac:dyDescent="0.2">
      <c r="A258" s="20"/>
      <c r="B258" s="32" t="s">
        <v>155</v>
      </c>
      <c r="C258" s="26">
        <v>5347.9</v>
      </c>
      <c r="D258" s="27">
        <v>1095.9960000000001</v>
      </c>
      <c r="E258" s="28">
        <f t="shared" si="3"/>
        <v>0.20493950896613627</v>
      </c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</row>
    <row r="259" spans="1:24" ht="15.75" hidden="1" customHeight="1" x14ac:dyDescent="0.2">
      <c r="A259" s="20"/>
      <c r="B259" s="32" t="s">
        <v>77</v>
      </c>
      <c r="C259" s="26">
        <v>3917.27</v>
      </c>
      <c r="D259" s="27">
        <v>1093.22</v>
      </c>
      <c r="E259" s="28">
        <f t="shared" si="3"/>
        <v>0.27907701026480175</v>
      </c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</row>
    <row r="260" spans="1:24" ht="15.75" hidden="1" customHeight="1" x14ac:dyDescent="0.2">
      <c r="A260" s="20"/>
      <c r="B260" s="32" t="s">
        <v>345</v>
      </c>
      <c r="C260" s="26">
        <v>16574.863000000001</v>
      </c>
      <c r="D260" s="27">
        <v>1075.1134999999999</v>
      </c>
      <c r="E260" s="28">
        <f t="shared" ref="E260:E323" si="4">D260/C260</f>
        <v>6.4864095709267697E-2</v>
      </c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</row>
    <row r="261" spans="1:24" ht="15.75" hidden="1" customHeight="1" x14ac:dyDescent="0.2">
      <c r="A261" s="20"/>
      <c r="B261" s="32" t="s">
        <v>395</v>
      </c>
      <c r="C261" s="26">
        <v>39577.936000000002</v>
      </c>
      <c r="D261" s="27">
        <v>1068.9276</v>
      </c>
      <c r="E261" s="28">
        <f t="shared" si="4"/>
        <v>2.7008169400243608E-2</v>
      </c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</row>
    <row r="262" spans="1:24" ht="15.75" hidden="1" customHeight="1" x14ac:dyDescent="0.2">
      <c r="A262" s="20"/>
      <c r="B262" s="32" t="s">
        <v>141</v>
      </c>
      <c r="C262" s="26">
        <v>4934.07</v>
      </c>
      <c r="D262" s="27">
        <v>1056.54</v>
      </c>
      <c r="E262" s="28">
        <f t="shared" si="4"/>
        <v>0.21413153846621552</v>
      </c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</row>
    <row r="263" spans="1:24" ht="15.75" hidden="1" customHeight="1" x14ac:dyDescent="0.2">
      <c r="A263" s="20"/>
      <c r="B263" s="32" t="s">
        <v>174</v>
      </c>
      <c r="C263" s="26">
        <v>5466.5874999999996</v>
      </c>
      <c r="D263" s="27">
        <v>1022.323</v>
      </c>
      <c r="E263" s="28">
        <f t="shared" si="4"/>
        <v>0.18701301314576965</v>
      </c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</row>
    <row r="264" spans="1:24" ht="15.75" hidden="1" customHeight="1" x14ac:dyDescent="0.2">
      <c r="A264" s="20"/>
      <c r="B264" s="32" t="s">
        <v>333</v>
      </c>
      <c r="C264" s="26">
        <v>14207.0695</v>
      </c>
      <c r="D264" s="27">
        <v>1018.7693</v>
      </c>
      <c r="E264" s="28">
        <f t="shared" si="4"/>
        <v>7.1708616615129533E-2</v>
      </c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</row>
    <row r="265" spans="1:24" ht="15.75" hidden="1" customHeight="1" x14ac:dyDescent="0.2">
      <c r="A265" s="20"/>
      <c r="B265" s="32" t="s">
        <v>185</v>
      </c>
      <c r="C265" s="26">
        <v>5676.72</v>
      </c>
      <c r="D265" s="27">
        <v>1016.68</v>
      </c>
      <c r="E265" s="28">
        <f t="shared" si="4"/>
        <v>0.17909637959948702</v>
      </c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</row>
    <row r="266" spans="1:24" ht="15.75" hidden="1" customHeight="1" x14ac:dyDescent="0.2">
      <c r="A266" s="20"/>
      <c r="B266" s="32" t="s">
        <v>392</v>
      </c>
      <c r="C266" s="26">
        <v>34151.603999999999</v>
      </c>
      <c r="D266" s="27">
        <v>1001.2569999999999</v>
      </c>
      <c r="E266" s="28">
        <f t="shared" si="4"/>
        <v>2.9318008020940978E-2</v>
      </c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</row>
    <row r="267" spans="1:24" ht="15.75" hidden="1" customHeight="1" x14ac:dyDescent="0.2">
      <c r="A267" s="20"/>
      <c r="B267" s="32" t="s">
        <v>134</v>
      </c>
      <c r="C267" s="26">
        <v>4566.9380000000001</v>
      </c>
      <c r="D267" s="27">
        <v>1000.492</v>
      </c>
      <c r="E267" s="28">
        <f t="shared" si="4"/>
        <v>0.21907282297241606</v>
      </c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</row>
    <row r="268" spans="1:24" ht="15.75" hidden="1" customHeight="1" x14ac:dyDescent="0.2">
      <c r="A268" s="20"/>
      <c r="B268" s="32" t="s">
        <v>384</v>
      </c>
      <c r="C268" s="26">
        <v>28943.363499999999</v>
      </c>
      <c r="D268" s="27">
        <v>987.05960000000005</v>
      </c>
      <c r="E268" s="28">
        <f t="shared" si="4"/>
        <v>3.4103140776986757E-2</v>
      </c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</row>
    <row r="269" spans="1:24" ht="15.75" hidden="1" customHeight="1" x14ac:dyDescent="0.2">
      <c r="A269" s="20"/>
      <c r="B269" s="32" t="s">
        <v>342</v>
      </c>
      <c r="C269" s="26">
        <v>14394.2235</v>
      </c>
      <c r="D269" s="27">
        <v>950.34</v>
      </c>
      <c r="E269" s="28">
        <f t="shared" si="4"/>
        <v>6.6022317911070369E-2</v>
      </c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</row>
    <row r="270" spans="1:24" ht="15.75" hidden="1" customHeight="1" x14ac:dyDescent="0.2">
      <c r="A270" s="20"/>
      <c r="B270" s="32" t="s">
        <v>106</v>
      </c>
      <c r="C270" s="26">
        <v>3803.9360000000001</v>
      </c>
      <c r="D270" s="27">
        <v>938.00350000000003</v>
      </c>
      <c r="E270" s="28">
        <f t="shared" si="4"/>
        <v>0.24658761346142521</v>
      </c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 spans="1:24" ht="15.75" hidden="1" customHeight="1" x14ac:dyDescent="0.2">
      <c r="A271" s="20"/>
      <c r="B271" s="32" t="s">
        <v>84</v>
      </c>
      <c r="C271" s="26">
        <v>3442.22</v>
      </c>
      <c r="D271" s="27">
        <v>934.54</v>
      </c>
      <c r="E271" s="28">
        <f t="shared" si="4"/>
        <v>0.27149339670329031</v>
      </c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</row>
    <row r="272" spans="1:24" ht="15.75" hidden="1" customHeight="1" x14ac:dyDescent="0.2">
      <c r="A272" s="20"/>
      <c r="B272" s="32" t="s">
        <v>205</v>
      </c>
      <c r="C272" s="26">
        <v>5640.8059999999996</v>
      </c>
      <c r="D272" s="27">
        <v>930.96960000000001</v>
      </c>
      <c r="E272" s="28">
        <f t="shared" si="4"/>
        <v>0.16504194613322992</v>
      </c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</row>
    <row r="273" spans="1:24" ht="15.75" hidden="1" customHeight="1" x14ac:dyDescent="0.2">
      <c r="A273" s="20"/>
      <c r="B273" s="32" t="s">
        <v>309</v>
      </c>
      <c r="C273" s="26">
        <v>10440.3655</v>
      </c>
      <c r="D273" s="27">
        <v>925.12289999999996</v>
      </c>
      <c r="E273" s="28">
        <f t="shared" si="4"/>
        <v>8.861020239186071E-2</v>
      </c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</row>
    <row r="274" spans="1:24" ht="15.75" hidden="1" customHeight="1" x14ac:dyDescent="0.2">
      <c r="A274" s="20"/>
      <c r="B274" s="32" t="s">
        <v>396</v>
      </c>
      <c r="C274" s="26">
        <v>33880.208500000001</v>
      </c>
      <c r="D274" s="27">
        <v>906.89400000000001</v>
      </c>
      <c r="E274" s="28">
        <f t="shared" si="4"/>
        <v>2.676766289676169E-2</v>
      </c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</row>
    <row r="275" spans="1:24" ht="15.75" hidden="1" customHeight="1" x14ac:dyDescent="0.2">
      <c r="A275" s="20"/>
      <c r="B275" s="32" t="s">
        <v>339</v>
      </c>
      <c r="C275" s="26">
        <v>12992.456</v>
      </c>
      <c r="D275" s="27">
        <v>886.95780000000002</v>
      </c>
      <c r="E275" s="28">
        <f t="shared" si="4"/>
        <v>6.8267139022829867E-2</v>
      </c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</row>
    <row r="276" spans="1:24" ht="15.75" hidden="1" customHeight="1" x14ac:dyDescent="0.2">
      <c r="A276" s="20"/>
      <c r="B276" s="32" t="s">
        <v>314</v>
      </c>
      <c r="C276" s="26">
        <v>9926.3634999999995</v>
      </c>
      <c r="D276" s="27">
        <v>870.173</v>
      </c>
      <c r="E276" s="28">
        <f t="shared" si="4"/>
        <v>8.7662818312063628E-2</v>
      </c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</row>
    <row r="277" spans="1:24" ht="15.75" hidden="1" customHeight="1" x14ac:dyDescent="0.2">
      <c r="A277" s="20"/>
      <c r="B277" s="32" t="s">
        <v>398</v>
      </c>
      <c r="C277" s="26">
        <v>35496.069499999998</v>
      </c>
      <c r="D277" s="27">
        <v>828.05060000000003</v>
      </c>
      <c r="E277" s="28">
        <f t="shared" si="4"/>
        <v>2.3327951845485317E-2</v>
      </c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</row>
    <row r="278" spans="1:24" ht="15.75" hidden="1" customHeight="1" x14ac:dyDescent="0.2">
      <c r="A278" s="20"/>
      <c r="B278" s="32" t="s">
        <v>354</v>
      </c>
      <c r="C278" s="26">
        <v>13340.9915</v>
      </c>
      <c r="D278" s="27">
        <v>822.05100000000004</v>
      </c>
      <c r="E278" s="28">
        <f t="shared" si="4"/>
        <v>6.1618433682384108E-2</v>
      </c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</row>
    <row r="279" spans="1:24" ht="15.75" hidden="1" customHeight="1" x14ac:dyDescent="0.2">
      <c r="A279" s="20"/>
      <c r="B279" s="32" t="s">
        <v>189</v>
      </c>
      <c r="C279" s="26">
        <v>4607.9425000000001</v>
      </c>
      <c r="D279" s="27">
        <v>817.44500000000005</v>
      </c>
      <c r="E279" s="28">
        <f t="shared" si="4"/>
        <v>0.17739913204212077</v>
      </c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</row>
    <row r="280" spans="1:24" ht="15.75" hidden="1" customHeight="1" x14ac:dyDescent="0.2">
      <c r="A280" s="20"/>
      <c r="B280" s="32" t="s">
        <v>387</v>
      </c>
      <c r="C280" s="26">
        <v>24509.383999999998</v>
      </c>
      <c r="D280" s="27">
        <v>788.13490000000002</v>
      </c>
      <c r="E280" s="28">
        <f t="shared" si="4"/>
        <v>3.2156454850109657E-2</v>
      </c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</row>
    <row r="281" spans="1:24" ht="15.75" hidden="1" customHeight="1" x14ac:dyDescent="0.2">
      <c r="A281" s="20"/>
      <c r="B281" s="32" t="s">
        <v>344</v>
      </c>
      <c r="C281" s="26">
        <v>11628.175499999999</v>
      </c>
      <c r="D281" s="27">
        <v>760.69600000000003</v>
      </c>
      <c r="E281" s="28">
        <f t="shared" si="4"/>
        <v>6.5418345294152122E-2</v>
      </c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</row>
    <row r="282" spans="1:24" ht="15.75" hidden="1" customHeight="1" x14ac:dyDescent="0.2">
      <c r="A282" s="20"/>
      <c r="B282" s="32" t="s">
        <v>262</v>
      </c>
      <c r="C282" s="26">
        <v>6163.52</v>
      </c>
      <c r="D282" s="27">
        <v>755.95</v>
      </c>
      <c r="E282" s="28">
        <f t="shared" si="4"/>
        <v>0.12264907066092103</v>
      </c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</row>
    <row r="283" spans="1:24" ht="15.75" hidden="1" customHeight="1" x14ac:dyDescent="0.2">
      <c r="A283" s="20"/>
      <c r="B283" s="32" t="s">
        <v>223</v>
      </c>
      <c r="C283" s="26">
        <v>4757.26</v>
      </c>
      <c r="D283" s="27">
        <v>729.95</v>
      </c>
      <c r="E283" s="28">
        <f t="shared" si="4"/>
        <v>0.15343916456111292</v>
      </c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</row>
    <row r="284" spans="1:24" ht="15.75" hidden="1" customHeight="1" x14ac:dyDescent="0.2">
      <c r="A284" s="20"/>
      <c r="B284" s="32" t="s">
        <v>64</v>
      </c>
      <c r="C284" s="26">
        <v>2292.2600000000002</v>
      </c>
      <c r="D284" s="27">
        <v>722.89</v>
      </c>
      <c r="E284" s="28">
        <f t="shared" si="4"/>
        <v>0.31536125919398317</v>
      </c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</row>
    <row r="285" spans="1:24" ht="15.75" hidden="1" customHeight="1" x14ac:dyDescent="0.2">
      <c r="A285" s="20"/>
      <c r="B285" s="32" t="s">
        <v>380</v>
      </c>
      <c r="C285" s="26">
        <v>19762.138999999999</v>
      </c>
      <c r="D285" s="27">
        <v>705.02250000000004</v>
      </c>
      <c r="E285" s="28">
        <f t="shared" si="4"/>
        <v>3.5675414488279843E-2</v>
      </c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</row>
    <row r="286" spans="1:24" ht="15.75" hidden="1" customHeight="1" x14ac:dyDescent="0.2">
      <c r="A286" s="20"/>
      <c r="B286" s="32" t="s">
        <v>363</v>
      </c>
      <c r="C286" s="26">
        <v>13535.3405</v>
      </c>
      <c r="D286" s="27">
        <v>689.46500000000003</v>
      </c>
      <c r="E286" s="28">
        <f t="shared" si="4"/>
        <v>5.0938134877360493E-2</v>
      </c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</row>
    <row r="287" spans="1:24" ht="15.75" hidden="1" customHeight="1" x14ac:dyDescent="0.2">
      <c r="A287" s="20"/>
      <c r="B287" s="32" t="s">
        <v>374</v>
      </c>
      <c r="C287" s="26">
        <v>16404.4755</v>
      </c>
      <c r="D287" s="27">
        <v>687.50580000000002</v>
      </c>
      <c r="E287" s="28">
        <f t="shared" si="4"/>
        <v>4.1909648376139794E-2</v>
      </c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</row>
    <row r="288" spans="1:24" ht="15.75" hidden="1" customHeight="1" x14ac:dyDescent="0.2">
      <c r="A288" s="20"/>
      <c r="B288" s="32" t="s">
        <v>280</v>
      </c>
      <c r="C288" s="26">
        <v>6315.33</v>
      </c>
      <c r="D288" s="27">
        <v>685.95050000000003</v>
      </c>
      <c r="E288" s="28">
        <f t="shared" si="4"/>
        <v>0.10861673103384939</v>
      </c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</row>
    <row r="289" spans="1:24" ht="15.75" customHeight="1" x14ac:dyDescent="0.2">
      <c r="A289" s="20"/>
      <c r="B289" s="32" t="s">
        <v>422</v>
      </c>
      <c r="C289" s="26">
        <v>382756.3175</v>
      </c>
      <c r="D289" s="27">
        <v>681.55280000000005</v>
      </c>
      <c r="E289" s="28">
        <f t="shared" si="4"/>
        <v>1.7806441561869191E-3</v>
      </c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</row>
    <row r="290" spans="1:24" ht="15.75" hidden="1" customHeight="1" x14ac:dyDescent="0.2">
      <c r="A290" s="20"/>
      <c r="B290" s="32" t="s">
        <v>394</v>
      </c>
      <c r="C290" s="26">
        <v>24491.589</v>
      </c>
      <c r="D290" s="27">
        <v>680.75879999999995</v>
      </c>
      <c r="E290" s="28">
        <f t="shared" ref="E290:E323" si="5">D290/C290</f>
        <v>2.7795615874494708E-2</v>
      </c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</row>
    <row r="291" spans="1:24" ht="15.75" hidden="1" customHeight="1" x14ac:dyDescent="0.2">
      <c r="A291" s="20"/>
      <c r="B291" s="32" t="s">
        <v>57</v>
      </c>
      <c r="C291" s="26">
        <v>1631.04</v>
      </c>
      <c r="D291" s="27">
        <v>665.63</v>
      </c>
      <c r="E291" s="28">
        <f t="shared" si="5"/>
        <v>0.40810157936040808</v>
      </c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</row>
    <row r="292" spans="1:24" ht="15.75" hidden="1" customHeight="1" x14ac:dyDescent="0.2">
      <c r="A292" s="20"/>
      <c r="B292" s="32" t="s">
        <v>340</v>
      </c>
      <c r="C292" s="26">
        <v>9778.5609999999997</v>
      </c>
      <c r="D292" s="27">
        <v>659.30309999999997</v>
      </c>
      <c r="E292" s="28">
        <f t="shared" si="5"/>
        <v>6.742332537476628E-2</v>
      </c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</row>
    <row r="293" spans="1:24" ht="15.75" hidden="1" customHeight="1" x14ac:dyDescent="0.2">
      <c r="A293" s="20"/>
      <c r="B293" s="32" t="s">
        <v>138</v>
      </c>
      <c r="C293" s="26">
        <v>2962.03</v>
      </c>
      <c r="D293" s="27">
        <v>641.28700000000003</v>
      </c>
      <c r="E293" s="28">
        <f t="shared" si="5"/>
        <v>0.21650253373530989</v>
      </c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</row>
    <row r="294" spans="1:24" ht="15.75" hidden="1" customHeight="1" x14ac:dyDescent="0.2">
      <c r="A294" s="20"/>
      <c r="B294" s="32" t="s">
        <v>104</v>
      </c>
      <c r="C294" s="26">
        <v>2536.41</v>
      </c>
      <c r="D294" s="27">
        <v>627.351</v>
      </c>
      <c r="E294" s="28">
        <f t="shared" si="5"/>
        <v>0.24733816693673344</v>
      </c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</row>
    <row r="295" spans="1:24" ht="15.75" hidden="1" customHeight="1" x14ac:dyDescent="0.2">
      <c r="A295" s="20"/>
      <c r="B295" s="32" t="s">
        <v>261</v>
      </c>
      <c r="C295" s="26">
        <v>4671.22</v>
      </c>
      <c r="D295" s="27">
        <v>578.399</v>
      </c>
      <c r="E295" s="28">
        <f t="shared" si="5"/>
        <v>0.12382182813055261</v>
      </c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</row>
    <row r="296" spans="1:24" ht="15.75" hidden="1" customHeight="1" x14ac:dyDescent="0.2">
      <c r="A296" s="20"/>
      <c r="B296" s="32" t="s">
        <v>350</v>
      </c>
      <c r="C296" s="26">
        <v>9106.9950000000008</v>
      </c>
      <c r="D296" s="27">
        <v>569.16899999999998</v>
      </c>
      <c r="E296" s="28">
        <f t="shared" si="5"/>
        <v>6.2498002908753097E-2</v>
      </c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</row>
    <row r="297" spans="1:24" ht="15.75" hidden="1" customHeight="1" x14ac:dyDescent="0.2">
      <c r="A297" s="20"/>
      <c r="B297" s="32" t="s">
        <v>157</v>
      </c>
      <c r="C297" s="26">
        <v>2626.384</v>
      </c>
      <c r="D297" s="27">
        <v>531.44600000000003</v>
      </c>
      <c r="E297" s="28">
        <f t="shared" si="5"/>
        <v>0.20234893298162038</v>
      </c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</row>
    <row r="298" spans="1:24" ht="15.75" hidden="1" customHeight="1" x14ac:dyDescent="0.2">
      <c r="A298" s="20"/>
      <c r="B298" s="32" t="s">
        <v>168</v>
      </c>
      <c r="C298" s="26">
        <v>2632.84</v>
      </c>
      <c r="D298" s="27">
        <v>501.96</v>
      </c>
      <c r="E298" s="28">
        <f t="shared" si="5"/>
        <v>0.19065343887209246</v>
      </c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</row>
    <row r="299" spans="1:24" ht="15.75" hidden="1" customHeight="1" x14ac:dyDescent="0.2">
      <c r="A299" s="20"/>
      <c r="B299" s="32" t="s">
        <v>417</v>
      </c>
      <c r="C299" s="26">
        <v>78532.211500000005</v>
      </c>
      <c r="D299" s="27">
        <v>493.77800000000002</v>
      </c>
      <c r="E299" s="28">
        <f t="shared" si="5"/>
        <v>6.2875855724501021E-3</v>
      </c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</row>
    <row r="300" spans="1:24" ht="15.75" hidden="1" customHeight="1" x14ac:dyDescent="0.2">
      <c r="A300" s="20"/>
      <c r="B300" s="32" t="s">
        <v>383</v>
      </c>
      <c r="C300" s="26">
        <v>13389.334500000001</v>
      </c>
      <c r="D300" s="27">
        <v>466.28210000000001</v>
      </c>
      <c r="E300" s="28">
        <f t="shared" si="5"/>
        <v>3.4824889915178382E-2</v>
      </c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</row>
    <row r="301" spans="1:24" ht="15.75" hidden="1" customHeight="1" x14ac:dyDescent="0.2">
      <c r="A301" s="20"/>
      <c r="B301" s="32" t="s">
        <v>359</v>
      </c>
      <c r="C301" s="26">
        <v>7676.9174999999996</v>
      </c>
      <c r="D301" s="27">
        <v>458.98849999999999</v>
      </c>
      <c r="E301" s="28">
        <f t="shared" si="5"/>
        <v>5.9788124595581499E-2</v>
      </c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</row>
    <row r="302" spans="1:24" ht="15.75" hidden="1" customHeight="1" x14ac:dyDescent="0.2">
      <c r="A302" s="20"/>
      <c r="B302" s="32" t="s">
        <v>397</v>
      </c>
      <c r="C302" s="26">
        <v>17758.078000000001</v>
      </c>
      <c r="D302" s="27">
        <v>450.56299999999999</v>
      </c>
      <c r="E302" s="28">
        <f t="shared" si="5"/>
        <v>2.5372284095159396E-2</v>
      </c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</row>
    <row r="303" spans="1:24" ht="15.75" hidden="1" customHeight="1" x14ac:dyDescent="0.2">
      <c r="A303" s="20"/>
      <c r="B303" s="32" t="s">
        <v>412</v>
      </c>
      <c r="C303" s="26">
        <v>43597.965499999998</v>
      </c>
      <c r="D303" s="27">
        <v>444.46339999999998</v>
      </c>
      <c r="E303" s="28">
        <f t="shared" si="5"/>
        <v>1.0194590387480352E-2</v>
      </c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</row>
    <row r="304" spans="1:24" ht="15.75" hidden="1" customHeight="1" x14ac:dyDescent="0.2">
      <c r="A304" s="20"/>
      <c r="B304" s="32" t="s">
        <v>406</v>
      </c>
      <c r="C304" s="26">
        <v>32540.738499999999</v>
      </c>
      <c r="D304" s="27">
        <v>437.67880000000002</v>
      </c>
      <c r="E304" s="28">
        <f t="shared" si="5"/>
        <v>1.3450180302453801E-2</v>
      </c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</row>
    <row r="305" spans="1:24" ht="15.75" hidden="1" customHeight="1" x14ac:dyDescent="0.2">
      <c r="A305" s="20"/>
      <c r="B305" s="32" t="s">
        <v>148</v>
      </c>
      <c r="C305" s="26">
        <v>2054.88</v>
      </c>
      <c r="D305" s="27">
        <v>431.7355</v>
      </c>
      <c r="E305" s="28">
        <f t="shared" si="5"/>
        <v>0.21010253640115237</v>
      </c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</row>
    <row r="306" spans="1:24" ht="15.75" hidden="1" customHeight="1" x14ac:dyDescent="0.2">
      <c r="A306" s="20"/>
      <c r="B306" s="32" t="s">
        <v>115</v>
      </c>
      <c r="C306" s="26">
        <v>1824.91</v>
      </c>
      <c r="D306" s="27">
        <v>431.31</v>
      </c>
      <c r="E306" s="28">
        <f t="shared" si="5"/>
        <v>0.23634590198968716</v>
      </c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</row>
    <row r="307" spans="1:24" ht="15.75" hidden="1" customHeight="1" x14ac:dyDescent="0.2">
      <c r="A307" s="20"/>
      <c r="B307" s="32" t="s">
        <v>67</v>
      </c>
      <c r="C307" s="26">
        <v>1401.75</v>
      </c>
      <c r="D307" s="27">
        <v>426.44</v>
      </c>
      <c r="E307" s="28">
        <f t="shared" si="5"/>
        <v>0.30421972534332087</v>
      </c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</row>
    <row r="308" spans="1:24" ht="15.75" hidden="1" customHeight="1" x14ac:dyDescent="0.2">
      <c r="A308" s="20"/>
      <c r="B308" s="32" t="s">
        <v>328</v>
      </c>
      <c r="C308" s="26">
        <v>5607.25</v>
      </c>
      <c r="D308" s="27">
        <v>425.61509999999998</v>
      </c>
      <c r="E308" s="28">
        <f t="shared" si="5"/>
        <v>7.5904427303936858E-2</v>
      </c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</row>
    <row r="309" spans="1:24" ht="15.75" hidden="1" customHeight="1" x14ac:dyDescent="0.2">
      <c r="A309" s="20"/>
      <c r="B309" s="32" t="s">
        <v>329</v>
      </c>
      <c r="C309" s="26">
        <v>5659.3104999999996</v>
      </c>
      <c r="D309" s="27">
        <v>420.55200000000002</v>
      </c>
      <c r="E309" s="28">
        <f t="shared" si="5"/>
        <v>7.4311526112589163E-2</v>
      </c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</row>
    <row r="310" spans="1:24" ht="15.75" hidden="1" customHeight="1" x14ac:dyDescent="0.2">
      <c r="A310" s="20"/>
      <c r="B310" s="32" t="s">
        <v>166</v>
      </c>
      <c r="C310" s="26">
        <v>2175.98</v>
      </c>
      <c r="D310" s="27">
        <v>418.83</v>
      </c>
      <c r="E310" s="28">
        <f t="shared" si="5"/>
        <v>0.19247879116535996</v>
      </c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</row>
    <row r="311" spans="1:24" ht="15.75" hidden="1" customHeight="1" x14ac:dyDescent="0.2">
      <c r="A311" s="20"/>
      <c r="B311" s="32" t="s">
        <v>403</v>
      </c>
      <c r="C311" s="26">
        <v>25722.904999999999</v>
      </c>
      <c r="D311" s="27">
        <v>412.90199999999999</v>
      </c>
      <c r="E311" s="28">
        <f t="shared" si="5"/>
        <v>1.6051919485765703E-2</v>
      </c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</row>
    <row r="312" spans="1:24" ht="15.75" hidden="1" customHeight="1" x14ac:dyDescent="0.2">
      <c r="A312" s="20"/>
      <c r="B312" s="32" t="s">
        <v>349</v>
      </c>
      <c r="C312" s="26">
        <v>6514.183</v>
      </c>
      <c r="D312" s="27">
        <v>409.23649999999998</v>
      </c>
      <c r="E312" s="28">
        <f t="shared" si="5"/>
        <v>6.2822383098540518E-2</v>
      </c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</row>
    <row r="313" spans="1:24" ht="15.75" hidden="1" customHeight="1" x14ac:dyDescent="0.2">
      <c r="A313" s="20"/>
      <c r="B313" s="32" t="s">
        <v>338</v>
      </c>
      <c r="C313" s="26">
        <v>5846.4409999999998</v>
      </c>
      <c r="D313" s="27">
        <v>401.15300000000002</v>
      </c>
      <c r="E313" s="28">
        <f t="shared" si="5"/>
        <v>6.8614906059943137E-2</v>
      </c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</row>
    <row r="314" spans="1:24" ht="15.75" hidden="1" customHeight="1" x14ac:dyDescent="0.2">
      <c r="A314" s="20"/>
      <c r="B314" s="32" t="s">
        <v>142</v>
      </c>
      <c r="C314" s="26">
        <v>1864.02</v>
      </c>
      <c r="D314" s="27">
        <v>399.08</v>
      </c>
      <c r="E314" s="28">
        <f t="shared" si="5"/>
        <v>0.21409641527451423</v>
      </c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</row>
    <row r="315" spans="1:24" ht="15.75" hidden="1" customHeight="1" x14ac:dyDescent="0.2">
      <c r="A315" s="20"/>
      <c r="B315" s="32" t="s">
        <v>82</v>
      </c>
      <c r="C315" s="26">
        <v>1419.83</v>
      </c>
      <c r="D315" s="27">
        <v>385.8</v>
      </c>
      <c r="E315" s="28">
        <f t="shared" si="5"/>
        <v>0.27172267102399583</v>
      </c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</row>
    <row r="316" spans="1:24" ht="15.75" hidden="1" customHeight="1" x14ac:dyDescent="0.2">
      <c r="A316" s="20"/>
      <c r="B316" s="32" t="s">
        <v>352</v>
      </c>
      <c r="C316" s="26">
        <v>6077.0309999999999</v>
      </c>
      <c r="D316" s="27">
        <v>375.96550000000002</v>
      </c>
      <c r="E316" s="28">
        <f t="shared" si="5"/>
        <v>6.1866641786095876E-2</v>
      </c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</row>
    <row r="317" spans="1:24" ht="15.75" hidden="1" customHeight="1" x14ac:dyDescent="0.2">
      <c r="A317" s="20"/>
      <c r="B317" s="32" t="s">
        <v>56</v>
      </c>
      <c r="C317" s="26">
        <v>852.75</v>
      </c>
      <c r="D317" s="27">
        <v>358.73399999999998</v>
      </c>
      <c r="E317" s="28">
        <f t="shared" si="5"/>
        <v>0.42067897977132801</v>
      </c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</row>
    <row r="318" spans="1:24" ht="15.75" hidden="1" customHeight="1" x14ac:dyDescent="0.2">
      <c r="A318" s="20"/>
      <c r="B318" s="32" t="s">
        <v>206</v>
      </c>
      <c r="C318" s="26">
        <v>2099.67</v>
      </c>
      <c r="D318" s="27">
        <v>346.38499999999999</v>
      </c>
      <c r="E318" s="28">
        <f t="shared" si="5"/>
        <v>0.16497116213500215</v>
      </c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</row>
    <row r="319" spans="1:24" ht="15.75" hidden="1" customHeight="1" x14ac:dyDescent="0.2">
      <c r="A319" s="20"/>
      <c r="B319" s="32" t="s">
        <v>225</v>
      </c>
      <c r="C319" s="26">
        <v>2200.4699999999998</v>
      </c>
      <c r="D319" s="27">
        <v>333.07</v>
      </c>
      <c r="E319" s="28">
        <f t="shared" si="5"/>
        <v>0.15136311787936216</v>
      </c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</row>
    <row r="320" spans="1:24" ht="15.75" hidden="1" customHeight="1" x14ac:dyDescent="0.2">
      <c r="A320" s="20"/>
      <c r="B320" s="32" t="s">
        <v>72</v>
      </c>
      <c r="C320" s="26">
        <v>1146.1099999999999</v>
      </c>
      <c r="D320" s="27">
        <v>330.63</v>
      </c>
      <c r="E320" s="28">
        <f t="shared" si="5"/>
        <v>0.28848016333510745</v>
      </c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</row>
    <row r="321" spans="1:24" ht="15.75" hidden="1" customHeight="1" x14ac:dyDescent="0.2">
      <c r="A321" s="20"/>
      <c r="B321" s="32" t="s">
        <v>351</v>
      </c>
      <c r="C321" s="26">
        <v>5287.7380000000003</v>
      </c>
      <c r="D321" s="27">
        <v>330.41899999999998</v>
      </c>
      <c r="E321" s="28">
        <f t="shared" si="5"/>
        <v>6.2487778327897481E-2</v>
      </c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</row>
    <row r="322" spans="1:24" ht="15.75" hidden="1" customHeight="1" x14ac:dyDescent="0.2">
      <c r="A322" s="20"/>
      <c r="B322" s="32" t="s">
        <v>391</v>
      </c>
      <c r="C322" s="26">
        <v>10320.204</v>
      </c>
      <c r="D322" s="27">
        <v>302.78699999999998</v>
      </c>
      <c r="E322" s="28">
        <f t="shared" si="5"/>
        <v>2.9339245619563335E-2</v>
      </c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</row>
    <row r="323" spans="1:24" ht="15.75" hidden="1" customHeight="1" x14ac:dyDescent="0.2">
      <c r="A323" s="20"/>
      <c r="B323" s="32" t="s">
        <v>413</v>
      </c>
      <c r="C323" s="26">
        <v>34846.472500000003</v>
      </c>
      <c r="D323" s="27">
        <v>296.29969999999997</v>
      </c>
      <c r="E323" s="28">
        <f t="shared" si="5"/>
        <v>8.5030041419543959E-3</v>
      </c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</row>
    <row r="324" spans="1:24" ht="15.75" hidden="1" customHeight="1" x14ac:dyDescent="0.2">
      <c r="A324" s="20"/>
      <c r="B324" s="32" t="s">
        <v>372</v>
      </c>
      <c r="C324" s="26">
        <v>6779.3</v>
      </c>
      <c r="D324" s="27">
        <v>289.678</v>
      </c>
      <c r="E324" s="28">
        <f t="shared" ref="E324:E387" si="6">D324/C324</f>
        <v>4.2729780360804208E-2</v>
      </c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</row>
    <row r="325" spans="1:24" ht="15.75" hidden="1" customHeight="1" x14ac:dyDescent="0.2">
      <c r="A325" s="20"/>
      <c r="B325" s="32" t="s">
        <v>377</v>
      </c>
      <c r="C325" s="26">
        <v>6505.1869999999999</v>
      </c>
      <c r="D325" s="27">
        <v>244.17599999999999</v>
      </c>
      <c r="E325" s="28">
        <f t="shared" si="6"/>
        <v>3.7535585064656866E-2</v>
      </c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</row>
    <row r="326" spans="1:24" ht="15.75" hidden="1" customHeight="1" x14ac:dyDescent="0.2">
      <c r="A326" s="20"/>
      <c r="B326" s="32" t="s">
        <v>414</v>
      </c>
      <c r="C326" s="26">
        <v>29711.626</v>
      </c>
      <c r="D326" s="27">
        <v>234.01779999999999</v>
      </c>
      <c r="E326" s="28">
        <f t="shared" si="6"/>
        <v>7.8763040434071153E-3</v>
      </c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</row>
    <row r="327" spans="1:24" ht="15.75" hidden="1" customHeight="1" x14ac:dyDescent="0.2">
      <c r="A327" s="20"/>
      <c r="B327" s="32" t="s">
        <v>358</v>
      </c>
      <c r="C327" s="26">
        <v>3808.5149999999999</v>
      </c>
      <c r="D327" s="27">
        <v>230.148</v>
      </c>
      <c r="E327" s="28">
        <f t="shared" si="6"/>
        <v>6.0429852580336431E-2</v>
      </c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</row>
    <row r="328" spans="1:24" ht="15.75" hidden="1" customHeight="1" x14ac:dyDescent="0.2">
      <c r="A328" s="20"/>
      <c r="B328" s="32" t="s">
        <v>381</v>
      </c>
      <c r="C328" s="26">
        <v>6542.4454999999998</v>
      </c>
      <c r="D328" s="27">
        <v>229.23150000000001</v>
      </c>
      <c r="E328" s="28">
        <f t="shared" si="6"/>
        <v>3.5037586480468202E-2</v>
      </c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</row>
    <row r="329" spans="1:24" ht="15.75" hidden="1" customHeight="1" x14ac:dyDescent="0.2">
      <c r="A329" s="20"/>
      <c r="B329" s="32" t="s">
        <v>401</v>
      </c>
      <c r="C329" s="26">
        <v>12742.700500000001</v>
      </c>
      <c r="D329" s="27">
        <v>228.04900000000001</v>
      </c>
      <c r="E329" s="28">
        <f t="shared" si="6"/>
        <v>1.7896441966912743E-2</v>
      </c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</row>
    <row r="330" spans="1:24" ht="15.75" hidden="1" customHeight="1" x14ac:dyDescent="0.2">
      <c r="A330" s="20"/>
      <c r="B330" s="32" t="s">
        <v>327</v>
      </c>
      <c r="C330" s="26">
        <v>2932.07</v>
      </c>
      <c r="D330" s="27">
        <v>223.23349999999999</v>
      </c>
      <c r="E330" s="28">
        <f t="shared" si="6"/>
        <v>7.6135119557172906E-2</v>
      </c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</row>
    <row r="331" spans="1:24" ht="15.75" hidden="1" customHeight="1" x14ac:dyDescent="0.2">
      <c r="A331" s="20"/>
      <c r="B331" s="32" t="s">
        <v>228</v>
      </c>
      <c r="C331" s="26">
        <v>1486.86</v>
      </c>
      <c r="D331" s="27">
        <v>223.07</v>
      </c>
      <c r="E331" s="28">
        <f t="shared" si="6"/>
        <v>0.15002757488936416</v>
      </c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</row>
    <row r="332" spans="1:24" ht="15.75" hidden="1" customHeight="1" x14ac:dyDescent="0.2">
      <c r="A332" s="20"/>
      <c r="B332" s="32" t="s">
        <v>393</v>
      </c>
      <c r="C332" s="26">
        <v>7830.19</v>
      </c>
      <c r="D332" s="27">
        <v>220.76400000000001</v>
      </c>
      <c r="E332" s="28">
        <f t="shared" si="6"/>
        <v>2.8193951870899688E-2</v>
      </c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</row>
    <row r="333" spans="1:24" ht="15.75" hidden="1" customHeight="1" x14ac:dyDescent="0.2">
      <c r="A333" s="20"/>
      <c r="B333" s="32" t="s">
        <v>169</v>
      </c>
      <c r="C333" s="26">
        <v>1111.04</v>
      </c>
      <c r="D333" s="27">
        <v>211.78</v>
      </c>
      <c r="E333" s="28">
        <f t="shared" si="6"/>
        <v>0.19061419930875576</v>
      </c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</row>
    <row r="334" spans="1:24" ht="15.75" hidden="1" customHeight="1" x14ac:dyDescent="0.2">
      <c r="A334" s="20"/>
      <c r="B334" s="32" t="s">
        <v>192</v>
      </c>
      <c r="C334" s="26">
        <v>1197.9000000000001</v>
      </c>
      <c r="D334" s="27">
        <v>210.73349999999999</v>
      </c>
      <c r="E334" s="28">
        <f t="shared" si="6"/>
        <v>0.17591910843976957</v>
      </c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</row>
    <row r="335" spans="1:24" ht="15.75" hidden="1" customHeight="1" x14ac:dyDescent="0.2">
      <c r="A335" s="20"/>
      <c r="B335" s="32" t="s">
        <v>336</v>
      </c>
      <c r="C335" s="26">
        <v>3022.0385000000001</v>
      </c>
      <c r="D335" s="27">
        <v>209.952</v>
      </c>
      <c r="E335" s="28">
        <f t="shared" si="6"/>
        <v>6.9473635097633601E-2</v>
      </c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</row>
    <row r="336" spans="1:24" ht="15.75" hidden="1" customHeight="1" x14ac:dyDescent="0.2">
      <c r="A336" s="20"/>
      <c r="B336" s="32" t="s">
        <v>411</v>
      </c>
      <c r="C336" s="26">
        <v>17993.09</v>
      </c>
      <c r="D336" s="27">
        <v>191.88200000000001</v>
      </c>
      <c r="E336" s="28">
        <f t="shared" si="6"/>
        <v>1.0664204980912117E-2</v>
      </c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</row>
    <row r="337" spans="1:24" ht="15.75" hidden="1" customHeight="1" x14ac:dyDescent="0.2">
      <c r="A337" s="20"/>
      <c r="B337" s="32" t="s">
        <v>408</v>
      </c>
      <c r="C337" s="26">
        <v>14062.0175</v>
      </c>
      <c r="D337" s="27">
        <v>186.3715</v>
      </c>
      <c r="E337" s="28">
        <f t="shared" si="6"/>
        <v>1.3253539188100143E-2</v>
      </c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</row>
    <row r="338" spans="1:24" ht="15.75" hidden="1" customHeight="1" x14ac:dyDescent="0.2">
      <c r="A338" s="20"/>
      <c r="B338" s="32" t="s">
        <v>237</v>
      </c>
      <c r="C338" s="26">
        <v>1276.92</v>
      </c>
      <c r="D338" s="27">
        <v>180.13</v>
      </c>
      <c r="E338" s="28">
        <f t="shared" si="6"/>
        <v>0.14106600256868088</v>
      </c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</row>
    <row r="339" spans="1:24" ht="15.75" hidden="1" customHeight="1" x14ac:dyDescent="0.2">
      <c r="A339" s="20"/>
      <c r="B339" s="32" t="s">
        <v>278</v>
      </c>
      <c r="C339" s="26">
        <v>1619.61</v>
      </c>
      <c r="D339" s="27">
        <v>179.11150000000001</v>
      </c>
      <c r="E339" s="28">
        <f t="shared" si="6"/>
        <v>0.11058927766561087</v>
      </c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</row>
    <row r="340" spans="1:24" ht="15.75" hidden="1" customHeight="1" x14ac:dyDescent="0.2">
      <c r="A340" s="20"/>
      <c r="B340" s="32" t="s">
        <v>399</v>
      </c>
      <c r="C340" s="26">
        <v>6886.85</v>
      </c>
      <c r="D340" s="27">
        <v>153.22999999999999</v>
      </c>
      <c r="E340" s="28">
        <f t="shared" si="6"/>
        <v>2.2249649694708027E-2</v>
      </c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</row>
    <row r="341" spans="1:24" ht="15.75" hidden="1" customHeight="1" x14ac:dyDescent="0.2">
      <c r="A341" s="20"/>
      <c r="B341" s="32" t="s">
        <v>53</v>
      </c>
      <c r="C341" s="26">
        <v>299.07</v>
      </c>
      <c r="D341" s="27">
        <v>137.47</v>
      </c>
      <c r="E341" s="28">
        <f t="shared" si="6"/>
        <v>0.45965827398267967</v>
      </c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</row>
    <row r="342" spans="1:24" ht="15.75" hidden="1" customHeight="1" x14ac:dyDescent="0.2">
      <c r="A342" s="20"/>
      <c r="B342" s="32" t="s">
        <v>382</v>
      </c>
      <c r="C342" s="26">
        <v>3859.3384999999998</v>
      </c>
      <c r="D342" s="27">
        <v>134.89179999999999</v>
      </c>
      <c r="E342" s="28">
        <f t="shared" si="6"/>
        <v>3.4952052016168057E-2</v>
      </c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</row>
    <row r="343" spans="1:24" ht="15.75" hidden="1" customHeight="1" x14ac:dyDescent="0.2">
      <c r="A343" s="20"/>
      <c r="B343" s="32" t="s">
        <v>390</v>
      </c>
      <c r="C343" s="26">
        <v>4161.4404999999997</v>
      </c>
      <c r="D343" s="27">
        <v>123.357</v>
      </c>
      <c r="E343" s="28">
        <f t="shared" si="6"/>
        <v>2.9642860447001467E-2</v>
      </c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</row>
    <row r="344" spans="1:24" ht="15.75" hidden="1" customHeight="1" x14ac:dyDescent="0.2">
      <c r="A344" s="20"/>
      <c r="B344" s="32" t="s">
        <v>306</v>
      </c>
      <c r="C344" s="26">
        <v>1306.1500000000001</v>
      </c>
      <c r="D344" s="27">
        <v>119.026</v>
      </c>
      <c r="E344" s="28">
        <f t="shared" si="6"/>
        <v>9.11273590322704E-2</v>
      </c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</row>
    <row r="345" spans="1:24" ht="15.75" hidden="1" customHeight="1" x14ac:dyDescent="0.2">
      <c r="A345" s="20"/>
      <c r="B345" s="32" t="s">
        <v>318</v>
      </c>
      <c r="C345" s="26">
        <v>1130.806</v>
      </c>
      <c r="D345" s="27">
        <v>95.147999999999996</v>
      </c>
      <c r="E345" s="28">
        <f t="shared" si="6"/>
        <v>8.4141753757939017E-2</v>
      </c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</row>
    <row r="346" spans="1:24" ht="15.75" hidden="1" customHeight="1" x14ac:dyDescent="0.2">
      <c r="A346" s="20"/>
      <c r="B346" s="32" t="s">
        <v>415</v>
      </c>
      <c r="C346" s="26">
        <v>13787.333500000001</v>
      </c>
      <c r="D346" s="27">
        <v>90.895499999999998</v>
      </c>
      <c r="E346" s="28">
        <f t="shared" si="6"/>
        <v>6.5926816088114496E-3</v>
      </c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</row>
    <row r="347" spans="1:24" ht="15.75" hidden="1" customHeight="1" x14ac:dyDescent="0.2">
      <c r="A347" s="20"/>
      <c r="B347" s="32" t="s">
        <v>298</v>
      </c>
      <c r="C347" s="26">
        <v>918.39</v>
      </c>
      <c r="D347" s="27">
        <v>86.06</v>
      </c>
      <c r="E347" s="28">
        <f t="shared" si="6"/>
        <v>9.3707466326941713E-2</v>
      </c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</row>
    <row r="348" spans="1:24" ht="15.75" hidden="1" customHeight="1" x14ac:dyDescent="0.2">
      <c r="A348" s="20"/>
      <c r="B348" s="32" t="s">
        <v>421</v>
      </c>
      <c r="C348" s="26">
        <v>36639.722500000003</v>
      </c>
      <c r="D348" s="27">
        <v>81.482900000000001</v>
      </c>
      <c r="E348" s="28">
        <f t="shared" si="6"/>
        <v>2.2238951182012908E-3</v>
      </c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</row>
    <row r="349" spans="1:24" ht="15.75" hidden="1" customHeight="1" x14ac:dyDescent="0.2">
      <c r="A349" s="20"/>
      <c r="B349" s="32" t="s">
        <v>251</v>
      </c>
      <c r="C349" s="26">
        <v>615.29999999999995</v>
      </c>
      <c r="D349" s="27">
        <v>80.989999999999995</v>
      </c>
      <c r="E349" s="28">
        <f t="shared" si="6"/>
        <v>0.13162684869169511</v>
      </c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</row>
    <row r="350" spans="1:24" ht="15.75" hidden="1" customHeight="1" x14ac:dyDescent="0.2">
      <c r="A350" s="20"/>
      <c r="B350" s="32" t="s">
        <v>420</v>
      </c>
      <c r="C350" s="26">
        <v>17950.23</v>
      </c>
      <c r="D350" s="27">
        <v>71.86</v>
      </c>
      <c r="E350" s="28">
        <f t="shared" si="6"/>
        <v>4.0032913227295696E-3</v>
      </c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</row>
    <row r="351" spans="1:24" ht="15.75" hidden="1" customHeight="1" x14ac:dyDescent="0.2">
      <c r="A351" s="20"/>
      <c r="B351" s="32" t="s">
        <v>405</v>
      </c>
      <c r="C351" s="26">
        <v>4361.43</v>
      </c>
      <c r="D351" s="27">
        <v>62.71</v>
      </c>
      <c r="E351" s="28">
        <f t="shared" si="6"/>
        <v>1.4378311700520242E-2</v>
      </c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</row>
    <row r="352" spans="1:24" ht="15.75" hidden="1" customHeight="1" x14ac:dyDescent="0.2">
      <c r="A352" s="20"/>
      <c r="B352" s="32" t="s">
        <v>334</v>
      </c>
      <c r="C352" s="26">
        <v>794.35</v>
      </c>
      <c r="D352" s="27">
        <v>56.87</v>
      </c>
      <c r="E352" s="28">
        <f t="shared" si="6"/>
        <v>7.1593126455592612E-2</v>
      </c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</row>
    <row r="353" spans="1:24" ht="15.75" hidden="1" customHeight="1" x14ac:dyDescent="0.2">
      <c r="A353" s="20"/>
      <c r="B353" s="32" t="s">
        <v>416</v>
      </c>
      <c r="C353" s="26">
        <v>8757.7999999999993</v>
      </c>
      <c r="D353" s="27">
        <v>56.722999999999999</v>
      </c>
      <c r="E353" s="28">
        <f t="shared" si="6"/>
        <v>6.476854917901757E-3</v>
      </c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</row>
    <row r="354" spans="1:24" ht="15.75" hidden="1" customHeight="1" x14ac:dyDescent="0.2">
      <c r="A354" s="20"/>
      <c r="B354" s="32" t="s">
        <v>409</v>
      </c>
      <c r="C354" s="26">
        <v>4545.66</v>
      </c>
      <c r="D354" s="27">
        <v>54.850499999999997</v>
      </c>
      <c r="E354" s="28">
        <f t="shared" si="6"/>
        <v>1.2066564591280474E-2</v>
      </c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</row>
    <row r="355" spans="1:24" ht="15.75" hidden="1" customHeight="1" x14ac:dyDescent="0.2">
      <c r="A355" s="20"/>
      <c r="B355" s="32" t="s">
        <v>361</v>
      </c>
      <c r="C355" s="26">
        <v>887.94</v>
      </c>
      <c r="D355" s="27">
        <v>49.45</v>
      </c>
      <c r="E355" s="28">
        <f t="shared" si="6"/>
        <v>5.5690699822060048E-2</v>
      </c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</row>
    <row r="356" spans="1:24" ht="15.75" hidden="1" customHeight="1" x14ac:dyDescent="0.2">
      <c r="A356" s="20"/>
      <c r="B356" s="32" t="s">
        <v>126</v>
      </c>
      <c r="C356" s="26">
        <v>197.95</v>
      </c>
      <c r="D356" s="27">
        <v>44.84</v>
      </c>
      <c r="E356" s="28">
        <f t="shared" si="6"/>
        <v>0.22652184895175553</v>
      </c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</row>
    <row r="357" spans="1:24" ht="15.75" hidden="1" customHeight="1" x14ac:dyDescent="0.2">
      <c r="A357" s="20"/>
      <c r="B357" s="32" t="s">
        <v>215</v>
      </c>
      <c r="C357" s="26">
        <v>275.16000000000003</v>
      </c>
      <c r="D357" s="27">
        <v>43.35</v>
      </c>
      <c r="E357" s="28">
        <f t="shared" si="6"/>
        <v>0.1575447012647187</v>
      </c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</row>
    <row r="358" spans="1:24" ht="15.75" hidden="1" customHeight="1" x14ac:dyDescent="0.2">
      <c r="A358" s="20"/>
      <c r="B358" s="32" t="s">
        <v>96</v>
      </c>
      <c r="C358" s="26">
        <v>169.13</v>
      </c>
      <c r="D358" s="27">
        <v>43.05</v>
      </c>
      <c r="E358" s="28">
        <f t="shared" si="6"/>
        <v>0.25453792940341746</v>
      </c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</row>
    <row r="359" spans="1:24" ht="15.75" hidden="1" customHeight="1" x14ac:dyDescent="0.2">
      <c r="A359" s="20"/>
      <c r="B359" s="32" t="s">
        <v>378</v>
      </c>
      <c r="C359" s="26">
        <v>1149.31</v>
      </c>
      <c r="D359" s="27">
        <v>42.26</v>
      </c>
      <c r="E359" s="28">
        <f t="shared" si="6"/>
        <v>3.6769888019768382E-2</v>
      </c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</row>
    <row r="360" spans="1:24" ht="15.75" hidden="1" customHeight="1" x14ac:dyDescent="0.2">
      <c r="A360" s="20"/>
      <c r="B360" s="32" t="s">
        <v>68</v>
      </c>
      <c r="C360" s="26">
        <v>117.27</v>
      </c>
      <c r="D360" s="27">
        <v>35.450000000000003</v>
      </c>
      <c r="E360" s="28">
        <f t="shared" si="6"/>
        <v>0.30229385179500301</v>
      </c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</row>
    <row r="361" spans="1:24" ht="15.75" hidden="1" customHeight="1" x14ac:dyDescent="0.2">
      <c r="A361" s="20"/>
      <c r="B361" s="32" t="s">
        <v>112</v>
      </c>
      <c r="C361" s="26">
        <v>143.85</v>
      </c>
      <c r="D361" s="27">
        <v>34.14</v>
      </c>
      <c r="E361" s="28">
        <f t="shared" si="6"/>
        <v>0.23733055265901984</v>
      </c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</row>
    <row r="362" spans="1:24" ht="15.75" hidden="1" customHeight="1" x14ac:dyDescent="0.2">
      <c r="A362" s="20"/>
      <c r="B362" s="32" t="s">
        <v>102</v>
      </c>
      <c r="C362" s="26">
        <v>117.91</v>
      </c>
      <c r="D362" s="27">
        <v>29.27</v>
      </c>
      <c r="E362" s="28">
        <f t="shared" si="6"/>
        <v>0.24824018319056909</v>
      </c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</row>
    <row r="363" spans="1:24" ht="15.75" hidden="1" customHeight="1" x14ac:dyDescent="0.2">
      <c r="A363" s="20"/>
      <c r="B363" s="32" t="s">
        <v>331</v>
      </c>
      <c r="C363" s="26">
        <v>346.87</v>
      </c>
      <c r="D363" s="27">
        <v>25.431000000000001</v>
      </c>
      <c r="E363" s="28">
        <f t="shared" si="6"/>
        <v>7.3315651396776899E-2</v>
      </c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</row>
    <row r="364" spans="1:24" ht="15.75" hidden="1" customHeight="1" x14ac:dyDescent="0.2">
      <c r="A364" s="20"/>
      <c r="B364" s="32" t="s">
        <v>419</v>
      </c>
      <c r="C364" s="26">
        <v>4431.701</v>
      </c>
      <c r="D364" s="27">
        <v>20.571100000000001</v>
      </c>
      <c r="E364" s="28">
        <f t="shared" si="6"/>
        <v>4.641806836697693E-3</v>
      </c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</row>
    <row r="365" spans="1:24" ht="15.75" hidden="1" customHeight="1" x14ac:dyDescent="0.2">
      <c r="A365" s="20"/>
      <c r="B365" s="32" t="s">
        <v>146</v>
      </c>
      <c r="C365" s="26">
        <v>89.99</v>
      </c>
      <c r="D365" s="27">
        <v>18.954999999999998</v>
      </c>
      <c r="E365" s="28">
        <f t="shared" si="6"/>
        <v>0.21063451494610511</v>
      </c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</row>
    <row r="366" spans="1:24" ht="15.75" hidden="1" customHeight="1" x14ac:dyDescent="0.2">
      <c r="A366" s="20"/>
      <c r="B366" s="32" t="s">
        <v>400</v>
      </c>
      <c r="C366" s="26">
        <v>712.18</v>
      </c>
      <c r="D366" s="27">
        <v>13.98</v>
      </c>
      <c r="E366" s="28">
        <f t="shared" si="6"/>
        <v>1.9629868853379764E-2</v>
      </c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</row>
    <row r="367" spans="1:24" ht="15.75" hidden="1" customHeight="1" x14ac:dyDescent="0.2">
      <c r="A367" s="20"/>
      <c r="B367" s="32" t="s">
        <v>325</v>
      </c>
      <c r="C367" s="26">
        <v>144.91</v>
      </c>
      <c r="D367" s="27">
        <v>11.19</v>
      </c>
      <c r="E367" s="28">
        <f t="shared" si="6"/>
        <v>7.7220343661583049E-2</v>
      </c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</row>
    <row r="368" spans="1:24" ht="15.75" hidden="1" customHeight="1" x14ac:dyDescent="0.2">
      <c r="A368" s="20"/>
      <c r="B368" s="32" t="s">
        <v>418</v>
      </c>
      <c r="C368" s="26">
        <v>1488.95</v>
      </c>
      <c r="D368" s="27">
        <v>7.56</v>
      </c>
      <c r="E368" s="28">
        <f t="shared" si="6"/>
        <v>5.0774035394069638E-3</v>
      </c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</row>
    <row r="369" spans="1:24" ht="15.75" hidden="1" customHeight="1" x14ac:dyDescent="0.2">
      <c r="A369" s="20"/>
      <c r="B369" s="32" t="s">
        <v>388</v>
      </c>
      <c r="C369" s="26">
        <v>191.67</v>
      </c>
      <c r="D369" s="27">
        <v>6.02</v>
      </c>
      <c r="E369" s="28">
        <f t="shared" si="6"/>
        <v>3.1408149423488289E-2</v>
      </c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</row>
    <row r="370" spans="1:24" ht="15.75" hidden="1" customHeight="1" x14ac:dyDescent="0.2">
      <c r="A370" s="20"/>
      <c r="B370" s="32" t="s">
        <v>370</v>
      </c>
      <c r="C370" s="26">
        <v>134.06</v>
      </c>
      <c r="D370" s="27">
        <v>5.98</v>
      </c>
      <c r="E370" s="28">
        <f t="shared" si="6"/>
        <v>4.4606892436222588E-2</v>
      </c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</row>
    <row r="371" spans="1:24" ht="15.75" hidden="1" customHeight="1" x14ac:dyDescent="0.2">
      <c r="A371" s="20"/>
      <c r="B371" s="32" t="s">
        <v>199</v>
      </c>
      <c r="C371" s="26">
        <v>22.78</v>
      </c>
      <c r="D371" s="27">
        <v>3.96</v>
      </c>
      <c r="E371" s="28">
        <f t="shared" si="6"/>
        <v>0.17383669885864791</v>
      </c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</row>
    <row r="372" spans="1:24" ht="15.75" hidden="1" customHeight="1" x14ac:dyDescent="0.2">
      <c r="A372" s="20"/>
      <c r="B372" s="32" t="s">
        <v>347</v>
      </c>
      <c r="C372" s="26">
        <v>51.27</v>
      </c>
      <c r="D372" s="27">
        <v>3.27</v>
      </c>
      <c r="E372" s="28">
        <f t="shared" si="6"/>
        <v>6.3779988297249846E-2</v>
      </c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</row>
    <row r="373" spans="1:24" ht="15.75" hidden="1" customHeight="1" x14ac:dyDescent="0.2">
      <c r="A373" s="20"/>
      <c r="B373" s="32" t="s">
        <v>410</v>
      </c>
      <c r="C373" s="26">
        <v>150.13</v>
      </c>
      <c r="D373" s="27">
        <v>1.73</v>
      </c>
      <c r="E373" s="28">
        <f t="shared" si="6"/>
        <v>1.1523346433091322E-2</v>
      </c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</row>
    <row r="374" spans="1:24" ht="15.75" hidden="1" customHeight="1" x14ac:dyDescent="0.2">
      <c r="A374" s="20"/>
      <c r="B374" s="32" t="s">
        <v>404</v>
      </c>
      <c r="C374" s="26">
        <v>87.44</v>
      </c>
      <c r="D374" s="27">
        <v>1.33</v>
      </c>
      <c r="E374" s="28">
        <f t="shared" si="6"/>
        <v>1.5210430009149132E-2</v>
      </c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</row>
    <row r="375" spans="1:24" ht="15.75" hidden="1" customHeight="1" x14ac:dyDescent="0.2">
      <c r="A375" s="20"/>
      <c r="B375" s="32" t="s">
        <v>424</v>
      </c>
      <c r="C375" s="26">
        <v>7319.81</v>
      </c>
      <c r="D375" s="27">
        <v>-3.7160000000000002</v>
      </c>
      <c r="E375" s="28">
        <f t="shared" si="6"/>
        <v>-5.0766345028081328E-4</v>
      </c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</row>
    <row r="376" spans="1:24" ht="15.75" hidden="1" customHeight="1" x14ac:dyDescent="0.2">
      <c r="A376" s="20"/>
      <c r="B376" s="32" t="s">
        <v>427</v>
      </c>
      <c r="C376" s="26">
        <v>1386.09</v>
      </c>
      <c r="D376" s="27">
        <v>-6.3506999999999998</v>
      </c>
      <c r="E376" s="28">
        <f t="shared" si="6"/>
        <v>-4.5817371166374478E-3</v>
      </c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</row>
    <row r="377" spans="1:24" ht="15.75" hidden="1" customHeight="1" x14ac:dyDescent="0.2">
      <c r="A377" s="20"/>
      <c r="B377" s="32" t="s">
        <v>499</v>
      </c>
      <c r="C377" s="26">
        <v>81.12</v>
      </c>
      <c r="D377" s="27">
        <v>-9.6300000000000008</v>
      </c>
      <c r="E377" s="28">
        <f t="shared" si="6"/>
        <v>-0.1187130177514793</v>
      </c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</row>
    <row r="378" spans="1:24" ht="15.75" hidden="1" customHeight="1" x14ac:dyDescent="0.2">
      <c r="A378" s="20"/>
      <c r="B378" s="32" t="s">
        <v>423</v>
      </c>
      <c r="C378" s="26">
        <v>45583.247000000003</v>
      </c>
      <c r="D378" s="27">
        <v>-15.706200000000001</v>
      </c>
      <c r="E378" s="28">
        <f t="shared" si="6"/>
        <v>-3.4456079883909979E-4</v>
      </c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</row>
    <row r="379" spans="1:24" ht="15.75" hidden="1" customHeight="1" x14ac:dyDescent="0.2">
      <c r="A379" s="20"/>
      <c r="B379" s="32" t="s">
        <v>441</v>
      </c>
      <c r="C379" s="26">
        <v>1112.74</v>
      </c>
      <c r="D379" s="27">
        <v>-17.78</v>
      </c>
      <c r="E379" s="28">
        <f t="shared" si="6"/>
        <v>-1.5978575408451212E-2</v>
      </c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</row>
    <row r="380" spans="1:24" ht="15.75" hidden="1" customHeight="1" x14ac:dyDescent="0.2">
      <c r="A380" s="20"/>
      <c r="B380" s="32" t="s">
        <v>555</v>
      </c>
      <c r="C380" s="26">
        <v>34.880000000000003</v>
      </c>
      <c r="D380" s="27">
        <v>-22.12</v>
      </c>
      <c r="E380" s="28">
        <f t="shared" si="6"/>
        <v>-0.63417431192660545</v>
      </c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</row>
    <row r="381" spans="1:24" ht="15.75" hidden="1" customHeight="1" x14ac:dyDescent="0.2">
      <c r="A381" s="20"/>
      <c r="B381" s="32" t="s">
        <v>429</v>
      </c>
      <c r="C381" s="26">
        <v>2934.78</v>
      </c>
      <c r="D381" s="27">
        <v>-22.64</v>
      </c>
      <c r="E381" s="28">
        <f t="shared" si="6"/>
        <v>-7.7143772275945722E-3</v>
      </c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</row>
    <row r="382" spans="1:24" ht="15.75" hidden="1" customHeight="1" x14ac:dyDescent="0.2">
      <c r="A382" s="20"/>
      <c r="B382" s="32" t="s">
        <v>556</v>
      </c>
      <c r="C382" s="26">
        <v>50.93</v>
      </c>
      <c r="D382" s="27">
        <v>-34.979999999999997</v>
      </c>
      <c r="E382" s="28">
        <f t="shared" si="6"/>
        <v>-0.68682505399568028</v>
      </c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</row>
    <row r="383" spans="1:24" ht="15.75" hidden="1" customHeight="1" x14ac:dyDescent="0.2">
      <c r="A383" s="20"/>
      <c r="B383" s="32" t="s">
        <v>440</v>
      </c>
      <c r="C383" s="26">
        <v>2477.88</v>
      </c>
      <c r="D383" s="27">
        <v>-35.42</v>
      </c>
      <c r="E383" s="28">
        <f t="shared" si="6"/>
        <v>-1.4294477537249585E-2</v>
      </c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</row>
    <row r="384" spans="1:24" ht="15.75" hidden="1" customHeight="1" x14ac:dyDescent="0.2">
      <c r="A384" s="20"/>
      <c r="B384" s="32" t="s">
        <v>463</v>
      </c>
      <c r="C384" s="26">
        <v>765.91</v>
      </c>
      <c r="D384" s="27">
        <v>-37.110999999999997</v>
      </c>
      <c r="E384" s="28">
        <f t="shared" si="6"/>
        <v>-4.8453473645728606E-2</v>
      </c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</row>
    <row r="385" spans="1:24" ht="15.75" hidden="1" customHeight="1" x14ac:dyDescent="0.2">
      <c r="A385" s="20"/>
      <c r="B385" s="32" t="s">
        <v>437</v>
      </c>
      <c r="C385" s="26">
        <v>3293.3995</v>
      </c>
      <c r="D385" s="27">
        <v>-37.162999999999997</v>
      </c>
      <c r="E385" s="28">
        <f t="shared" si="6"/>
        <v>-1.1284085031287579E-2</v>
      </c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</row>
    <row r="386" spans="1:24" ht="15.75" hidden="1" customHeight="1" x14ac:dyDescent="0.2">
      <c r="A386" s="20"/>
      <c r="B386" s="32" t="s">
        <v>500</v>
      </c>
      <c r="C386" s="26">
        <v>343.36</v>
      </c>
      <c r="D386" s="27">
        <v>-41.27</v>
      </c>
      <c r="E386" s="28">
        <f t="shared" si="6"/>
        <v>-0.12019454799627213</v>
      </c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</row>
    <row r="387" spans="1:24" ht="15.75" hidden="1" customHeight="1" x14ac:dyDescent="0.2">
      <c r="A387" s="20"/>
      <c r="B387" s="32" t="s">
        <v>513</v>
      </c>
      <c r="C387" s="26">
        <v>373.72</v>
      </c>
      <c r="D387" s="27">
        <v>-54.35</v>
      </c>
      <c r="E387" s="28">
        <f t="shared" si="6"/>
        <v>-0.1454297334903136</v>
      </c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</row>
    <row r="388" spans="1:24" ht="15.75" hidden="1" customHeight="1" x14ac:dyDescent="0.2">
      <c r="A388" s="20"/>
      <c r="B388" s="32" t="s">
        <v>470</v>
      </c>
      <c r="C388" s="26">
        <v>827.83</v>
      </c>
      <c r="D388" s="27">
        <v>-57.73</v>
      </c>
      <c r="E388" s="28">
        <f t="shared" ref="E388:E451" si="7">D388/C388</f>
        <v>-6.9736540110892323E-2</v>
      </c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</row>
    <row r="389" spans="1:24" ht="15.75" hidden="1" customHeight="1" x14ac:dyDescent="0.2">
      <c r="A389" s="20"/>
      <c r="B389" s="32" t="s">
        <v>431</v>
      </c>
      <c r="C389" s="26">
        <v>7573.11</v>
      </c>
      <c r="D389" s="27">
        <v>-60.011499999999998</v>
      </c>
      <c r="E389" s="28">
        <f t="shared" si="7"/>
        <v>-7.9242873799535464E-3</v>
      </c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</row>
    <row r="390" spans="1:24" ht="15.75" hidden="1" customHeight="1" x14ac:dyDescent="0.2">
      <c r="A390" s="20"/>
      <c r="B390" s="32" t="s">
        <v>453</v>
      </c>
      <c r="C390" s="26">
        <v>1820.91</v>
      </c>
      <c r="D390" s="27">
        <v>-60.195500000000003</v>
      </c>
      <c r="E390" s="28">
        <f t="shared" si="7"/>
        <v>-3.3057921588656218E-2</v>
      </c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</row>
    <row r="391" spans="1:24" ht="15.75" hidden="1" customHeight="1" x14ac:dyDescent="0.2">
      <c r="A391" s="20"/>
      <c r="B391" s="32" t="s">
        <v>537</v>
      </c>
      <c r="C391" s="26">
        <v>264.63</v>
      </c>
      <c r="D391" s="27">
        <v>-66.78</v>
      </c>
      <c r="E391" s="28">
        <f t="shared" si="7"/>
        <v>-0.25235234100442128</v>
      </c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</row>
    <row r="392" spans="1:24" ht="15.75" hidden="1" customHeight="1" x14ac:dyDescent="0.2">
      <c r="A392" s="20"/>
      <c r="B392" s="32" t="s">
        <v>452</v>
      </c>
      <c r="C392" s="26">
        <v>2219.7325000000001</v>
      </c>
      <c r="D392" s="27">
        <v>-69.784000000000006</v>
      </c>
      <c r="E392" s="28">
        <f t="shared" si="7"/>
        <v>-3.1438022374317628E-2</v>
      </c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</row>
    <row r="393" spans="1:24" ht="15.75" hidden="1" customHeight="1" x14ac:dyDescent="0.2">
      <c r="A393" s="20"/>
      <c r="B393" s="32" t="s">
        <v>450</v>
      </c>
      <c r="C393" s="26">
        <v>2585.75</v>
      </c>
      <c r="D393" s="27">
        <v>-77.493499999999997</v>
      </c>
      <c r="E393" s="28">
        <f t="shared" si="7"/>
        <v>-2.9969447935801991E-2</v>
      </c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</row>
    <row r="394" spans="1:24" ht="15.75" hidden="1" customHeight="1" x14ac:dyDescent="0.2">
      <c r="A394" s="20"/>
      <c r="B394" s="32" t="s">
        <v>426</v>
      </c>
      <c r="C394" s="26">
        <v>22168.5</v>
      </c>
      <c r="D394" s="27">
        <v>-83.509500000000003</v>
      </c>
      <c r="E394" s="28">
        <f t="shared" si="7"/>
        <v>-3.7670343054333854E-3</v>
      </c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</row>
    <row r="395" spans="1:24" ht="15.75" hidden="1" customHeight="1" x14ac:dyDescent="0.2">
      <c r="A395" s="20"/>
      <c r="B395" s="32" t="s">
        <v>455</v>
      </c>
      <c r="C395" s="26">
        <v>2892.8</v>
      </c>
      <c r="D395" s="27">
        <v>-106.76649999999999</v>
      </c>
      <c r="E395" s="28">
        <f t="shared" si="7"/>
        <v>-3.6907667311946897E-2</v>
      </c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</row>
    <row r="396" spans="1:24" ht="15.75" hidden="1" customHeight="1" x14ac:dyDescent="0.2">
      <c r="A396" s="20"/>
      <c r="B396" s="32" t="s">
        <v>471</v>
      </c>
      <c r="C396" s="26">
        <v>1626.1175000000001</v>
      </c>
      <c r="D396" s="27">
        <v>-115.099</v>
      </c>
      <c r="E396" s="28">
        <f t="shared" si="7"/>
        <v>-7.0781477968228007E-2</v>
      </c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</row>
    <row r="397" spans="1:24" ht="15.75" hidden="1" customHeight="1" x14ac:dyDescent="0.2">
      <c r="A397" s="20"/>
      <c r="B397" s="32" t="s">
        <v>435</v>
      </c>
      <c r="C397" s="26">
        <v>10752.362499999999</v>
      </c>
      <c r="D397" s="27">
        <v>-115.2351</v>
      </c>
      <c r="E397" s="28">
        <f t="shared" si="7"/>
        <v>-1.0717188896858715E-2</v>
      </c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</row>
    <row r="398" spans="1:24" ht="15.75" hidden="1" customHeight="1" x14ac:dyDescent="0.2">
      <c r="A398" s="20"/>
      <c r="B398" s="32" t="s">
        <v>468</v>
      </c>
      <c r="C398" s="26">
        <v>1872.7760000000001</v>
      </c>
      <c r="D398" s="27">
        <v>-120.617</v>
      </c>
      <c r="E398" s="28">
        <f t="shared" si="7"/>
        <v>-6.4405460129775258E-2</v>
      </c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</row>
    <row r="399" spans="1:24" ht="15.75" hidden="1" customHeight="1" x14ac:dyDescent="0.2">
      <c r="A399" s="20"/>
      <c r="B399" s="32" t="s">
        <v>504</v>
      </c>
      <c r="C399" s="26">
        <v>996.54100000000005</v>
      </c>
      <c r="D399" s="27">
        <v>-125.0955</v>
      </c>
      <c r="E399" s="28">
        <f t="shared" si="7"/>
        <v>-0.12552970725740334</v>
      </c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</row>
    <row r="400" spans="1:24" ht="15.75" hidden="1" customHeight="1" x14ac:dyDescent="0.2">
      <c r="A400" s="20"/>
      <c r="B400" s="32" t="s">
        <v>516</v>
      </c>
      <c r="C400" s="26">
        <v>862.28</v>
      </c>
      <c r="D400" s="27">
        <v>-128.55000000000001</v>
      </c>
      <c r="E400" s="28">
        <f t="shared" si="7"/>
        <v>-0.14908150484761332</v>
      </c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</row>
    <row r="401" spans="1:24" ht="15.75" hidden="1" customHeight="1" x14ac:dyDescent="0.2">
      <c r="A401" s="20"/>
      <c r="B401" s="32" t="s">
        <v>561</v>
      </c>
      <c r="C401" s="26">
        <v>74.3</v>
      </c>
      <c r="D401" s="27">
        <v>-129.01</v>
      </c>
      <c r="E401" s="28">
        <f t="shared" si="7"/>
        <v>-1.7363391655450875</v>
      </c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</row>
    <row r="402" spans="1:24" ht="15.75" hidden="1" customHeight="1" x14ac:dyDescent="0.2">
      <c r="A402" s="20"/>
      <c r="B402" s="32" t="s">
        <v>465</v>
      </c>
      <c r="C402" s="26">
        <v>2584.3290000000002</v>
      </c>
      <c r="D402" s="27">
        <v>-132.90299999999999</v>
      </c>
      <c r="E402" s="28">
        <f t="shared" si="7"/>
        <v>-5.1426501811495356E-2</v>
      </c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</row>
    <row r="403" spans="1:24" ht="15.75" hidden="1" customHeight="1" x14ac:dyDescent="0.2">
      <c r="A403" s="20"/>
      <c r="B403" s="32" t="s">
        <v>430</v>
      </c>
      <c r="C403" s="26">
        <v>17597.430499999999</v>
      </c>
      <c r="D403" s="27">
        <v>-138.64680000000001</v>
      </c>
      <c r="E403" s="28">
        <f t="shared" si="7"/>
        <v>-7.8788093523085665E-3</v>
      </c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</row>
    <row r="404" spans="1:24" ht="15.75" hidden="1" customHeight="1" x14ac:dyDescent="0.2">
      <c r="A404" s="20"/>
      <c r="B404" s="32" t="s">
        <v>439</v>
      </c>
      <c r="C404" s="26">
        <v>10082.779500000001</v>
      </c>
      <c r="D404" s="27">
        <v>-140.34729999999999</v>
      </c>
      <c r="E404" s="28">
        <f t="shared" si="7"/>
        <v>-1.3919505033309514E-2</v>
      </c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</row>
    <row r="405" spans="1:24" ht="15.75" hidden="1" customHeight="1" x14ac:dyDescent="0.2">
      <c r="A405" s="20"/>
      <c r="B405" s="32" t="s">
        <v>553</v>
      </c>
      <c r="C405" s="26">
        <v>233.04</v>
      </c>
      <c r="D405" s="27">
        <v>-143.62</v>
      </c>
      <c r="E405" s="28">
        <f t="shared" si="7"/>
        <v>-0.61628904909028492</v>
      </c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</row>
    <row r="406" spans="1:24" ht="15.75" hidden="1" customHeight="1" x14ac:dyDescent="0.2">
      <c r="A406" s="20"/>
      <c r="B406" s="32" t="s">
        <v>551</v>
      </c>
      <c r="C406" s="26">
        <v>274.70999999999998</v>
      </c>
      <c r="D406" s="27">
        <v>-156.33000000000001</v>
      </c>
      <c r="E406" s="28">
        <f t="shared" si="7"/>
        <v>-0.56907284044992912</v>
      </c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</row>
    <row r="407" spans="1:24" ht="15.75" hidden="1" customHeight="1" x14ac:dyDescent="0.2">
      <c r="A407" s="20"/>
      <c r="B407" s="32" t="s">
        <v>491</v>
      </c>
      <c r="C407" s="26">
        <v>1713.06</v>
      </c>
      <c r="D407" s="27">
        <v>-183.035</v>
      </c>
      <c r="E407" s="28">
        <f t="shared" si="7"/>
        <v>-0.10684681213734487</v>
      </c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</row>
    <row r="408" spans="1:24" ht="15.75" hidden="1" customHeight="1" x14ac:dyDescent="0.2">
      <c r="A408" s="20"/>
      <c r="B408" s="32" t="s">
        <v>454</v>
      </c>
      <c r="C408" s="26">
        <v>5469.7629999999999</v>
      </c>
      <c r="D408" s="27">
        <v>-186.2175</v>
      </c>
      <c r="E408" s="28">
        <f t="shared" si="7"/>
        <v>-3.404489371842985E-2</v>
      </c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</row>
    <row r="409" spans="1:24" ht="15.75" hidden="1" customHeight="1" x14ac:dyDescent="0.2">
      <c r="A409" s="20"/>
      <c r="B409" s="32" t="s">
        <v>462</v>
      </c>
      <c r="C409" s="26">
        <v>4147.4530000000004</v>
      </c>
      <c r="D409" s="27">
        <v>-187.14699999999999</v>
      </c>
      <c r="E409" s="28">
        <f t="shared" si="7"/>
        <v>-4.5123356431043336E-2</v>
      </c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</row>
    <row r="410" spans="1:24" ht="15.75" hidden="1" customHeight="1" x14ac:dyDescent="0.2">
      <c r="A410" s="20"/>
      <c r="B410" s="32" t="s">
        <v>543</v>
      </c>
      <c r="C410" s="26">
        <v>612.6</v>
      </c>
      <c r="D410" s="27">
        <v>-187.7587</v>
      </c>
      <c r="E410" s="28">
        <f t="shared" si="7"/>
        <v>-0.30649477636304279</v>
      </c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</row>
    <row r="411" spans="1:24" ht="15.75" hidden="1" customHeight="1" x14ac:dyDescent="0.2">
      <c r="A411" s="20"/>
      <c r="B411" s="32" t="s">
        <v>425</v>
      </c>
      <c r="C411" s="26">
        <v>65142.2255</v>
      </c>
      <c r="D411" s="27">
        <v>-189.5401</v>
      </c>
      <c r="E411" s="28">
        <f t="shared" si="7"/>
        <v>-2.9096350108578956E-3</v>
      </c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</row>
    <row r="412" spans="1:24" ht="15.75" hidden="1" customHeight="1" x14ac:dyDescent="0.2">
      <c r="A412" s="20"/>
      <c r="B412" s="32" t="s">
        <v>502</v>
      </c>
      <c r="C412" s="26">
        <v>1600.85</v>
      </c>
      <c r="D412" s="27">
        <v>-193.97</v>
      </c>
      <c r="E412" s="28">
        <f t="shared" si="7"/>
        <v>-0.12116688009494957</v>
      </c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</row>
    <row r="413" spans="1:24" ht="15.75" hidden="1" customHeight="1" x14ac:dyDescent="0.2">
      <c r="A413" s="20"/>
      <c r="B413" s="32" t="s">
        <v>436</v>
      </c>
      <c r="C413" s="26">
        <v>17879.432000000001</v>
      </c>
      <c r="D413" s="27">
        <v>-201.5795</v>
      </c>
      <c r="E413" s="28">
        <f t="shared" si="7"/>
        <v>-1.1274379409815703E-2</v>
      </c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</row>
    <row r="414" spans="1:24" ht="15.75" hidden="1" customHeight="1" x14ac:dyDescent="0.2">
      <c r="A414" s="20"/>
      <c r="B414" s="32" t="s">
        <v>506</v>
      </c>
      <c r="C414" s="26">
        <v>1627.75</v>
      </c>
      <c r="D414" s="27">
        <v>-223.11</v>
      </c>
      <c r="E414" s="28">
        <f t="shared" si="7"/>
        <v>-0.13706650284134542</v>
      </c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</row>
    <row r="415" spans="1:24" ht="15.75" hidden="1" customHeight="1" x14ac:dyDescent="0.2">
      <c r="A415" s="20"/>
      <c r="B415" s="32" t="s">
        <v>529</v>
      </c>
      <c r="C415" s="26">
        <v>1234.58</v>
      </c>
      <c r="D415" s="27">
        <v>-230.45</v>
      </c>
      <c r="E415" s="28">
        <f t="shared" si="7"/>
        <v>-0.18666267070582709</v>
      </c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</row>
    <row r="416" spans="1:24" ht="15.75" hidden="1" customHeight="1" x14ac:dyDescent="0.2">
      <c r="A416" s="20"/>
      <c r="B416" s="32" t="s">
        <v>562</v>
      </c>
      <c r="C416" s="26">
        <v>107.67</v>
      </c>
      <c r="D416" s="27">
        <v>-234.66</v>
      </c>
      <c r="E416" s="28">
        <f t="shared" si="7"/>
        <v>-2.1794371691278909</v>
      </c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</row>
    <row r="417" spans="1:24" ht="15.75" hidden="1" customHeight="1" x14ac:dyDescent="0.2">
      <c r="A417" s="20"/>
      <c r="B417" s="32" t="s">
        <v>518</v>
      </c>
      <c r="C417" s="26">
        <v>1559.52</v>
      </c>
      <c r="D417" s="27">
        <v>-246.03</v>
      </c>
      <c r="E417" s="28">
        <f t="shared" si="7"/>
        <v>-0.15776008002462297</v>
      </c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</row>
    <row r="418" spans="1:24" ht="15.75" hidden="1" customHeight="1" x14ac:dyDescent="0.2">
      <c r="A418" s="20"/>
      <c r="B418" s="32" t="s">
        <v>433</v>
      </c>
      <c r="C418" s="26">
        <v>27227.552500000002</v>
      </c>
      <c r="D418" s="27">
        <v>-267.14839999999998</v>
      </c>
      <c r="E418" s="28">
        <f t="shared" si="7"/>
        <v>-9.8116935042178305E-3</v>
      </c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</row>
    <row r="419" spans="1:24" ht="15.75" hidden="1" customHeight="1" x14ac:dyDescent="0.2">
      <c r="A419" s="20"/>
      <c r="B419" s="32" t="s">
        <v>549</v>
      </c>
      <c r="C419" s="26">
        <v>677.53</v>
      </c>
      <c r="D419" s="27">
        <v>-281.036</v>
      </c>
      <c r="E419" s="28">
        <f t="shared" si="7"/>
        <v>-0.4147949168302511</v>
      </c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</row>
    <row r="420" spans="1:24" ht="15.75" hidden="1" customHeight="1" x14ac:dyDescent="0.2">
      <c r="A420" s="20"/>
      <c r="B420" s="32" t="s">
        <v>458</v>
      </c>
      <c r="C420" s="26">
        <v>7253.01</v>
      </c>
      <c r="D420" s="27">
        <v>-292.20650000000001</v>
      </c>
      <c r="E420" s="28">
        <f t="shared" si="7"/>
        <v>-4.0287618519759386E-2</v>
      </c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</row>
    <row r="421" spans="1:24" ht="15.75" hidden="1" customHeight="1" x14ac:dyDescent="0.2">
      <c r="A421" s="20"/>
      <c r="B421" s="32" t="s">
        <v>432</v>
      </c>
      <c r="C421" s="26">
        <v>33243.817499999997</v>
      </c>
      <c r="D421" s="27">
        <v>-306.57</v>
      </c>
      <c r="E421" s="28">
        <f t="shared" si="7"/>
        <v>-9.2218650881475944E-3</v>
      </c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</row>
    <row r="422" spans="1:24" ht="15.75" hidden="1" customHeight="1" x14ac:dyDescent="0.2">
      <c r="A422" s="20"/>
      <c r="B422" s="32" t="s">
        <v>489</v>
      </c>
      <c r="C422" s="26">
        <v>3008.8539999999998</v>
      </c>
      <c r="D422" s="27">
        <v>-318.553</v>
      </c>
      <c r="E422" s="28">
        <f t="shared" si="7"/>
        <v>-0.10587187015388584</v>
      </c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</row>
    <row r="423" spans="1:24" ht="15.75" hidden="1" customHeight="1" x14ac:dyDescent="0.2">
      <c r="A423" s="20"/>
      <c r="B423" s="32" t="s">
        <v>444</v>
      </c>
      <c r="C423" s="26">
        <v>17108.099999999999</v>
      </c>
      <c r="D423" s="27">
        <v>-342.19349999999997</v>
      </c>
      <c r="E423" s="28">
        <f t="shared" si="7"/>
        <v>-2.0001841233100112E-2</v>
      </c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</row>
    <row r="424" spans="1:24" ht="15.75" hidden="1" customHeight="1" x14ac:dyDescent="0.2">
      <c r="A424" s="20"/>
      <c r="B424" s="32" t="s">
        <v>472</v>
      </c>
      <c r="C424" s="26">
        <v>4744.96</v>
      </c>
      <c r="D424" s="27">
        <v>-342.91</v>
      </c>
      <c r="E424" s="28">
        <f t="shared" si="7"/>
        <v>-7.2268259374156998E-2</v>
      </c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</row>
    <row r="425" spans="1:24" ht="15.75" hidden="1" customHeight="1" x14ac:dyDescent="0.2">
      <c r="A425" s="20"/>
      <c r="B425" s="32" t="s">
        <v>442</v>
      </c>
      <c r="C425" s="26">
        <v>20864.71</v>
      </c>
      <c r="D425" s="27">
        <v>-347.59840000000003</v>
      </c>
      <c r="E425" s="28">
        <f t="shared" si="7"/>
        <v>-1.6659632460743524E-2</v>
      </c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</row>
    <row r="426" spans="1:24" ht="15.75" hidden="1" customHeight="1" x14ac:dyDescent="0.2">
      <c r="A426" s="20"/>
      <c r="B426" s="32" t="s">
        <v>428</v>
      </c>
      <c r="C426" s="26">
        <v>46845.881500000003</v>
      </c>
      <c r="D426" s="27">
        <v>-348.4314</v>
      </c>
      <c r="E426" s="28">
        <f t="shared" si="7"/>
        <v>-7.4378235363123648E-3</v>
      </c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</row>
    <row r="427" spans="1:24" ht="15.75" hidden="1" customHeight="1" x14ac:dyDescent="0.2">
      <c r="A427" s="20"/>
      <c r="B427" s="32" t="s">
        <v>564</v>
      </c>
      <c r="C427" s="26">
        <v>143.667</v>
      </c>
      <c r="D427" s="27">
        <v>-363.55</v>
      </c>
      <c r="E427" s="28">
        <f t="shared" si="7"/>
        <v>-2.5305045695949664</v>
      </c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</row>
    <row r="428" spans="1:24" ht="15.75" hidden="1" customHeight="1" x14ac:dyDescent="0.2">
      <c r="A428" s="20"/>
      <c r="B428" s="32" t="s">
        <v>446</v>
      </c>
      <c r="C428" s="26">
        <v>16054.694</v>
      </c>
      <c r="D428" s="27">
        <v>-376.52249999999998</v>
      </c>
      <c r="E428" s="28">
        <f t="shared" si="7"/>
        <v>-2.3452486855246198E-2</v>
      </c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</row>
    <row r="429" spans="1:24" ht="15.75" hidden="1" customHeight="1" x14ac:dyDescent="0.2">
      <c r="A429" s="20"/>
      <c r="B429" s="32" t="s">
        <v>515</v>
      </c>
      <c r="C429" s="26">
        <v>2537.88</v>
      </c>
      <c r="D429" s="27">
        <v>-377.25</v>
      </c>
      <c r="E429" s="28">
        <f t="shared" si="7"/>
        <v>-0.1486476901981181</v>
      </c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</row>
    <row r="430" spans="1:24" ht="15.75" hidden="1" customHeight="1" x14ac:dyDescent="0.2">
      <c r="A430" s="20"/>
      <c r="B430" s="32" t="s">
        <v>438</v>
      </c>
      <c r="C430" s="26">
        <v>33974.443500000001</v>
      </c>
      <c r="D430" s="27">
        <v>-384.55500000000001</v>
      </c>
      <c r="E430" s="28">
        <f t="shared" si="7"/>
        <v>-1.1318949197799221E-2</v>
      </c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</row>
    <row r="431" spans="1:24" ht="15.75" hidden="1" customHeight="1" x14ac:dyDescent="0.2">
      <c r="A431" s="20"/>
      <c r="B431" s="32" t="s">
        <v>467</v>
      </c>
      <c r="C431" s="26">
        <v>6746.3119999999999</v>
      </c>
      <c r="D431" s="27">
        <v>-433.2901</v>
      </c>
      <c r="E431" s="28">
        <f t="shared" si="7"/>
        <v>-6.4226217228020285E-2</v>
      </c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</row>
    <row r="432" spans="1:24" ht="15.75" hidden="1" customHeight="1" x14ac:dyDescent="0.2">
      <c r="A432" s="20"/>
      <c r="B432" s="32" t="s">
        <v>445</v>
      </c>
      <c r="C432" s="26">
        <v>21537.156999999999</v>
      </c>
      <c r="D432" s="27">
        <v>-436.53800000000001</v>
      </c>
      <c r="E432" s="28">
        <f t="shared" si="7"/>
        <v>-2.0269063368020208E-2</v>
      </c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</row>
    <row r="433" spans="1:24" ht="15.75" hidden="1" customHeight="1" x14ac:dyDescent="0.2">
      <c r="A433" s="20"/>
      <c r="B433" s="32" t="s">
        <v>464</v>
      </c>
      <c r="C433" s="26">
        <v>8625.5400000000009</v>
      </c>
      <c r="D433" s="27">
        <v>-440.65</v>
      </c>
      <c r="E433" s="28">
        <f t="shared" si="7"/>
        <v>-5.1086656603528582E-2</v>
      </c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</row>
    <row r="434" spans="1:24" ht="15.75" hidden="1" customHeight="1" x14ac:dyDescent="0.2">
      <c r="A434" s="20"/>
      <c r="B434" s="32" t="s">
        <v>456</v>
      </c>
      <c r="C434" s="26">
        <v>12279.5795</v>
      </c>
      <c r="D434" s="27">
        <v>-453.54599999999999</v>
      </c>
      <c r="E434" s="28">
        <f t="shared" si="7"/>
        <v>-3.6934978107352946E-2</v>
      </c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</row>
    <row r="435" spans="1:24" ht="15.75" hidden="1" customHeight="1" x14ac:dyDescent="0.2">
      <c r="A435" s="20"/>
      <c r="B435" s="32" t="s">
        <v>457</v>
      </c>
      <c r="C435" s="26">
        <v>11715.665499999999</v>
      </c>
      <c r="D435" s="27">
        <v>-469.29739999999998</v>
      </c>
      <c r="E435" s="28">
        <f t="shared" si="7"/>
        <v>-4.0057254963450431E-2</v>
      </c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</row>
    <row r="436" spans="1:24" ht="15.75" hidden="1" customHeight="1" x14ac:dyDescent="0.2">
      <c r="A436" s="20"/>
      <c r="B436" s="32" t="s">
        <v>461</v>
      </c>
      <c r="C436" s="26">
        <v>10648.882</v>
      </c>
      <c r="D436" s="27">
        <v>-479.75749999999999</v>
      </c>
      <c r="E436" s="28">
        <f t="shared" si="7"/>
        <v>-4.5052382024704567E-2</v>
      </c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</row>
    <row r="437" spans="1:24" ht="15.75" hidden="1" customHeight="1" x14ac:dyDescent="0.2">
      <c r="A437" s="20"/>
      <c r="B437" s="32" t="s">
        <v>476</v>
      </c>
      <c r="C437" s="26">
        <v>6319.0005000000001</v>
      </c>
      <c r="D437" s="27">
        <v>-492.78699999999998</v>
      </c>
      <c r="E437" s="28">
        <f t="shared" si="7"/>
        <v>-7.7984959804956497E-2</v>
      </c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</row>
    <row r="438" spans="1:24" ht="15.75" hidden="1" customHeight="1" x14ac:dyDescent="0.2">
      <c r="A438" s="20"/>
      <c r="B438" s="32" t="s">
        <v>434</v>
      </c>
      <c r="C438" s="26">
        <v>49000.925999999999</v>
      </c>
      <c r="D438" s="27">
        <v>-516.72349999999994</v>
      </c>
      <c r="E438" s="28">
        <f t="shared" si="7"/>
        <v>-1.0545178268671901E-2</v>
      </c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</row>
    <row r="439" spans="1:24" ht="15.75" hidden="1" customHeight="1" x14ac:dyDescent="0.2">
      <c r="A439" s="20"/>
      <c r="B439" s="32" t="s">
        <v>512</v>
      </c>
      <c r="C439" s="26">
        <v>3616.4544999999998</v>
      </c>
      <c r="D439" s="27">
        <v>-518.83939999999996</v>
      </c>
      <c r="E439" s="28">
        <f t="shared" si="7"/>
        <v>-0.143466314867227</v>
      </c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</row>
    <row r="440" spans="1:24" ht="15.75" hidden="1" customHeight="1" x14ac:dyDescent="0.2">
      <c r="A440" s="20"/>
      <c r="B440" s="32" t="s">
        <v>530</v>
      </c>
      <c r="C440" s="26">
        <v>2807.7775000000001</v>
      </c>
      <c r="D440" s="27">
        <v>-527.2355</v>
      </c>
      <c r="E440" s="28">
        <f t="shared" si="7"/>
        <v>-0.18777680923791146</v>
      </c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</row>
    <row r="441" spans="1:24" ht="15.75" hidden="1" customHeight="1" x14ac:dyDescent="0.2">
      <c r="A441" s="20"/>
      <c r="B441" s="32" t="s">
        <v>447</v>
      </c>
      <c r="C441" s="26">
        <v>23126.164499999999</v>
      </c>
      <c r="D441" s="27">
        <v>-576.00900000000001</v>
      </c>
      <c r="E441" s="28">
        <f t="shared" si="7"/>
        <v>-2.4907243049317584E-2</v>
      </c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</row>
    <row r="442" spans="1:24" ht="15.75" hidden="1" customHeight="1" x14ac:dyDescent="0.2">
      <c r="A442" s="20"/>
      <c r="B442" s="32" t="s">
        <v>511</v>
      </c>
      <c r="C442" s="26">
        <v>4322.26</v>
      </c>
      <c r="D442" s="27">
        <v>-618.95000000000005</v>
      </c>
      <c r="E442" s="28">
        <f t="shared" si="7"/>
        <v>-0.14320054786153541</v>
      </c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</row>
    <row r="443" spans="1:24" ht="15.75" hidden="1" customHeight="1" x14ac:dyDescent="0.2">
      <c r="A443" s="20"/>
      <c r="B443" s="32" t="s">
        <v>503</v>
      </c>
      <c r="C443" s="26">
        <v>5207.3045000000002</v>
      </c>
      <c r="D443" s="27">
        <v>-634.52</v>
      </c>
      <c r="E443" s="28">
        <f t="shared" si="7"/>
        <v>-0.12185191013892119</v>
      </c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</row>
    <row r="444" spans="1:24" ht="15.75" hidden="1" customHeight="1" x14ac:dyDescent="0.2">
      <c r="A444" s="20"/>
      <c r="B444" s="32" t="s">
        <v>526</v>
      </c>
      <c r="C444" s="26">
        <v>3769.1570000000002</v>
      </c>
      <c r="D444" s="27">
        <v>-654.78300000000002</v>
      </c>
      <c r="E444" s="28">
        <f t="shared" si="7"/>
        <v>-0.17372133875028289</v>
      </c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</row>
    <row r="445" spans="1:24" ht="15.75" hidden="1" customHeight="1" x14ac:dyDescent="0.2">
      <c r="A445" s="20"/>
      <c r="B445" s="32" t="s">
        <v>466</v>
      </c>
      <c r="C445" s="26">
        <v>10914.677</v>
      </c>
      <c r="D445" s="27">
        <v>-685.80200000000002</v>
      </c>
      <c r="E445" s="28">
        <f t="shared" si="7"/>
        <v>-6.2833009167380771E-2</v>
      </c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</row>
    <row r="446" spans="1:24" ht="15.75" hidden="1" customHeight="1" x14ac:dyDescent="0.2">
      <c r="A446" s="20"/>
      <c r="B446" s="32" t="s">
        <v>443</v>
      </c>
      <c r="C446" s="26">
        <v>41665.066500000001</v>
      </c>
      <c r="D446" s="27">
        <v>-694.6481</v>
      </c>
      <c r="E446" s="28">
        <f t="shared" si="7"/>
        <v>-1.6672194678964452E-2</v>
      </c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</row>
    <row r="447" spans="1:24" ht="15.75" hidden="1" customHeight="1" x14ac:dyDescent="0.2">
      <c r="A447" s="20"/>
      <c r="B447" s="32" t="s">
        <v>451</v>
      </c>
      <c r="C447" s="26">
        <v>22614.8135</v>
      </c>
      <c r="D447" s="27">
        <v>-704.4058</v>
      </c>
      <c r="E447" s="28">
        <f t="shared" si="7"/>
        <v>-3.1147981830581976E-2</v>
      </c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</row>
    <row r="448" spans="1:24" ht="15.75" hidden="1" customHeight="1" x14ac:dyDescent="0.2">
      <c r="A448" s="20"/>
      <c r="B448" s="32" t="s">
        <v>546</v>
      </c>
      <c r="C448" s="26">
        <v>1910.0415</v>
      </c>
      <c r="D448" s="27">
        <v>-704.56700000000001</v>
      </c>
      <c r="E448" s="28">
        <f t="shared" si="7"/>
        <v>-0.36887523124497557</v>
      </c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</row>
    <row r="449" spans="1:24" ht="15.75" hidden="1" customHeight="1" x14ac:dyDescent="0.2">
      <c r="A449" s="20"/>
      <c r="B449" s="32" t="s">
        <v>486</v>
      </c>
      <c r="C449" s="26">
        <v>7162.7344999999996</v>
      </c>
      <c r="D449" s="27">
        <v>-741.66300000000001</v>
      </c>
      <c r="E449" s="28">
        <f t="shared" si="7"/>
        <v>-0.10354467277825251</v>
      </c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</row>
    <row r="450" spans="1:24" ht="15.75" hidden="1" customHeight="1" x14ac:dyDescent="0.2">
      <c r="A450" s="20"/>
      <c r="B450" s="32" t="s">
        <v>510</v>
      </c>
      <c r="C450" s="26">
        <v>5286.4544999999998</v>
      </c>
      <c r="D450" s="27">
        <v>-755.40099999999995</v>
      </c>
      <c r="E450" s="28">
        <f t="shared" si="7"/>
        <v>-0.14289369179286418</v>
      </c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</row>
    <row r="451" spans="1:24" ht="15.75" hidden="1" customHeight="1" x14ac:dyDescent="0.2">
      <c r="A451" s="20"/>
      <c r="B451" s="32" t="s">
        <v>521</v>
      </c>
      <c r="C451" s="26">
        <v>4705.1419999999998</v>
      </c>
      <c r="D451" s="27">
        <v>-761.84820000000002</v>
      </c>
      <c r="E451" s="28">
        <f t="shared" si="7"/>
        <v>-0.1619182162833768</v>
      </c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</row>
    <row r="452" spans="1:24" ht="15.75" hidden="1" customHeight="1" x14ac:dyDescent="0.2">
      <c r="A452" s="20"/>
      <c r="B452" s="32" t="s">
        <v>505</v>
      </c>
      <c r="C452" s="26">
        <v>5615.6935000000003</v>
      </c>
      <c r="D452" s="27">
        <v>-764.55719999999997</v>
      </c>
      <c r="E452" s="28">
        <f t="shared" ref="E452:E515" si="8">D452/C452</f>
        <v>-0.13614653292598677</v>
      </c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</row>
    <row r="453" spans="1:24" ht="15.75" hidden="1" customHeight="1" x14ac:dyDescent="0.2">
      <c r="A453" s="20"/>
      <c r="B453" s="32" t="s">
        <v>554</v>
      </c>
      <c r="C453" s="26">
        <v>1239.73</v>
      </c>
      <c r="D453" s="27">
        <v>-768.21050000000002</v>
      </c>
      <c r="E453" s="28">
        <f t="shared" si="8"/>
        <v>-0.61965952263799373</v>
      </c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</row>
    <row r="454" spans="1:24" ht="15.75" hidden="1" customHeight="1" x14ac:dyDescent="0.2">
      <c r="A454" s="20"/>
      <c r="B454" s="32" t="s">
        <v>475</v>
      </c>
      <c r="C454" s="26">
        <v>10174.494000000001</v>
      </c>
      <c r="D454" s="27">
        <v>-790.78</v>
      </c>
      <c r="E454" s="28">
        <f t="shared" si="8"/>
        <v>-7.7721801202103993E-2</v>
      </c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</row>
    <row r="455" spans="1:24" ht="15.75" hidden="1" customHeight="1" x14ac:dyDescent="0.2">
      <c r="A455" s="20"/>
      <c r="B455" s="32" t="s">
        <v>477</v>
      </c>
      <c r="C455" s="26">
        <v>9902.6530000000002</v>
      </c>
      <c r="D455" s="27">
        <v>-800.04</v>
      </c>
      <c r="E455" s="28">
        <f t="shared" si="8"/>
        <v>-8.0790470998024458E-2</v>
      </c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</row>
    <row r="456" spans="1:24" ht="15.75" hidden="1" customHeight="1" x14ac:dyDescent="0.2">
      <c r="A456" s="20"/>
      <c r="B456" s="32" t="s">
        <v>496</v>
      </c>
      <c r="C456" s="26">
        <v>6993.5405000000001</v>
      </c>
      <c r="D456" s="27">
        <v>-807.1567</v>
      </c>
      <c r="E456" s="28">
        <f t="shared" si="8"/>
        <v>-0.11541460294681928</v>
      </c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</row>
    <row r="457" spans="1:24" ht="15.75" hidden="1" customHeight="1" x14ac:dyDescent="0.2">
      <c r="A457" s="20"/>
      <c r="B457" s="32" t="s">
        <v>474</v>
      </c>
      <c r="C457" s="26">
        <v>11540.398499999999</v>
      </c>
      <c r="D457" s="27">
        <v>-866.11950000000002</v>
      </c>
      <c r="E457" s="28">
        <f t="shared" si="8"/>
        <v>-7.5051091173324744E-2</v>
      </c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</row>
    <row r="458" spans="1:24" ht="15.75" hidden="1" customHeight="1" x14ac:dyDescent="0.2">
      <c r="A458" s="20"/>
      <c r="B458" s="32" t="s">
        <v>548</v>
      </c>
      <c r="C458" s="26">
        <v>2227.2600000000002</v>
      </c>
      <c r="D458" s="27">
        <v>-873.08600000000001</v>
      </c>
      <c r="E458" s="28">
        <f t="shared" si="8"/>
        <v>-0.39200003591857258</v>
      </c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</row>
    <row r="459" spans="1:24" ht="15.75" hidden="1" customHeight="1" x14ac:dyDescent="0.2">
      <c r="A459" s="20"/>
      <c r="B459" s="32" t="s">
        <v>539</v>
      </c>
      <c r="C459" s="26">
        <v>3550.39</v>
      </c>
      <c r="D459" s="27">
        <v>-899.32150000000001</v>
      </c>
      <c r="E459" s="28">
        <f t="shared" si="8"/>
        <v>-0.25330217243739422</v>
      </c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</row>
    <row r="460" spans="1:24" ht="15.75" hidden="1" customHeight="1" x14ac:dyDescent="0.2">
      <c r="A460" s="20"/>
      <c r="B460" s="32" t="s">
        <v>531</v>
      </c>
      <c r="C460" s="26">
        <v>4490.41</v>
      </c>
      <c r="D460" s="27">
        <v>-928.44</v>
      </c>
      <c r="E460" s="28">
        <f t="shared" si="8"/>
        <v>-0.2067606298756684</v>
      </c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</row>
    <row r="461" spans="1:24" ht="15.75" hidden="1" customHeight="1" x14ac:dyDescent="0.2">
      <c r="A461" s="20"/>
      <c r="B461" s="32" t="s">
        <v>507</v>
      </c>
      <c r="C461" s="26">
        <v>6971.7</v>
      </c>
      <c r="D461" s="27">
        <v>-977.61339999999996</v>
      </c>
      <c r="E461" s="28">
        <f t="shared" si="8"/>
        <v>-0.14022597071015677</v>
      </c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</row>
    <row r="462" spans="1:24" ht="15.75" hidden="1" customHeight="1" x14ac:dyDescent="0.2">
      <c r="A462" s="20"/>
      <c r="B462" s="32" t="s">
        <v>469</v>
      </c>
      <c r="C462" s="26">
        <v>15284.63</v>
      </c>
      <c r="D462" s="27">
        <v>-1049.2159999999999</v>
      </c>
      <c r="E462" s="28">
        <f t="shared" si="8"/>
        <v>-6.864516838157024E-2</v>
      </c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</row>
    <row r="463" spans="1:24" ht="15.75" hidden="1" customHeight="1" x14ac:dyDescent="0.2">
      <c r="A463" s="20"/>
      <c r="B463" s="32" t="s">
        <v>509</v>
      </c>
      <c r="C463" s="26">
        <v>7890.4620000000004</v>
      </c>
      <c r="D463" s="27">
        <v>-1109.8064999999999</v>
      </c>
      <c r="E463" s="28">
        <f t="shared" si="8"/>
        <v>-0.14065165005547201</v>
      </c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</row>
    <row r="464" spans="1:24" ht="15.75" hidden="1" customHeight="1" x14ac:dyDescent="0.2">
      <c r="A464" s="20"/>
      <c r="B464" s="32" t="s">
        <v>484</v>
      </c>
      <c r="C464" s="26">
        <v>11006.6405</v>
      </c>
      <c r="D464" s="27">
        <v>-1119.6948</v>
      </c>
      <c r="E464" s="28">
        <f t="shared" si="8"/>
        <v>-0.10172902440122397</v>
      </c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</row>
    <row r="465" spans="1:24" ht="15.75" hidden="1" customHeight="1" x14ac:dyDescent="0.2">
      <c r="A465" s="20"/>
      <c r="B465" s="32" t="s">
        <v>479</v>
      </c>
      <c r="C465" s="26">
        <v>13210.02</v>
      </c>
      <c r="D465" s="27">
        <v>-1153.067</v>
      </c>
      <c r="E465" s="28">
        <f t="shared" si="8"/>
        <v>-8.7287301608930182E-2</v>
      </c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</row>
    <row r="466" spans="1:24" ht="15.75" hidden="1" customHeight="1" x14ac:dyDescent="0.2">
      <c r="A466" s="20"/>
      <c r="B466" s="32" t="s">
        <v>535</v>
      </c>
      <c r="C466" s="26">
        <v>5163.3885</v>
      </c>
      <c r="D466" s="27">
        <v>-1222.3219999999999</v>
      </c>
      <c r="E466" s="28">
        <f t="shared" si="8"/>
        <v>-0.23672865212447211</v>
      </c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</row>
    <row r="467" spans="1:24" ht="15.75" hidden="1" customHeight="1" x14ac:dyDescent="0.2">
      <c r="A467" s="20"/>
      <c r="B467" s="32" t="s">
        <v>544</v>
      </c>
      <c r="C467" s="26">
        <v>3732.25</v>
      </c>
      <c r="D467" s="27">
        <v>-1255.8599999999999</v>
      </c>
      <c r="E467" s="28">
        <f t="shared" si="8"/>
        <v>-0.33648871324268198</v>
      </c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</row>
    <row r="468" spans="1:24" ht="15.75" hidden="1" customHeight="1" x14ac:dyDescent="0.2">
      <c r="A468" s="20"/>
      <c r="B468" s="32" t="s">
        <v>481</v>
      </c>
      <c r="C468" s="26">
        <v>13261.752</v>
      </c>
      <c r="D468" s="27">
        <v>-1287.7573</v>
      </c>
      <c r="E468" s="28">
        <f t="shared" si="8"/>
        <v>-9.7103105230741754E-2</v>
      </c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</row>
    <row r="469" spans="1:24" ht="15.75" hidden="1" customHeight="1" x14ac:dyDescent="0.2">
      <c r="A469" s="20"/>
      <c r="B469" s="32" t="s">
        <v>473</v>
      </c>
      <c r="C469" s="26">
        <v>17620.716</v>
      </c>
      <c r="D469" s="27">
        <v>-1298.1495</v>
      </c>
      <c r="E469" s="28">
        <f t="shared" si="8"/>
        <v>-7.3671779285245848E-2</v>
      </c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</row>
    <row r="470" spans="1:24" ht="15.75" hidden="1" customHeight="1" x14ac:dyDescent="0.2">
      <c r="A470" s="20"/>
      <c r="B470" s="32" t="s">
        <v>494</v>
      </c>
      <c r="C470" s="26">
        <v>11474.28</v>
      </c>
      <c r="D470" s="27">
        <v>-1304.047</v>
      </c>
      <c r="E470" s="28">
        <f t="shared" si="8"/>
        <v>-0.11364957104062302</v>
      </c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</row>
    <row r="471" spans="1:24" ht="15.75" hidden="1" customHeight="1" x14ac:dyDescent="0.2">
      <c r="A471" s="20"/>
      <c r="B471" s="32" t="s">
        <v>460</v>
      </c>
      <c r="C471" s="26">
        <v>30800.23</v>
      </c>
      <c r="D471" s="27">
        <v>-1353.269</v>
      </c>
      <c r="E471" s="28">
        <f t="shared" si="8"/>
        <v>-4.3936977094002218E-2</v>
      </c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</row>
    <row r="472" spans="1:24" ht="15.75" hidden="1" customHeight="1" x14ac:dyDescent="0.2">
      <c r="A472" s="20"/>
      <c r="B472" s="32" t="s">
        <v>480</v>
      </c>
      <c r="C472" s="26">
        <v>16826.269</v>
      </c>
      <c r="D472" s="27">
        <v>-1472.0105000000001</v>
      </c>
      <c r="E472" s="28">
        <f t="shared" si="8"/>
        <v>-8.7482881677453272E-2</v>
      </c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</row>
    <row r="473" spans="1:24" ht="15.75" hidden="1" customHeight="1" x14ac:dyDescent="0.2">
      <c r="A473" s="20"/>
      <c r="B473" s="32" t="s">
        <v>524</v>
      </c>
      <c r="C473" s="26">
        <v>8699.82</v>
      </c>
      <c r="D473" s="27">
        <v>-1499.31</v>
      </c>
      <c r="E473" s="28">
        <f t="shared" si="8"/>
        <v>-0.17233804837341463</v>
      </c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</row>
    <row r="474" spans="1:24" ht="15.75" hidden="1" customHeight="1" x14ac:dyDescent="0.2">
      <c r="A474" s="20"/>
      <c r="B474" s="32" t="s">
        <v>532</v>
      </c>
      <c r="C474" s="26">
        <v>7240.56</v>
      </c>
      <c r="D474" s="27">
        <v>-1502.1469999999999</v>
      </c>
      <c r="E474" s="28">
        <f t="shared" si="8"/>
        <v>-0.20746282055531615</v>
      </c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</row>
    <row r="475" spans="1:24" ht="15.75" hidden="1" customHeight="1" x14ac:dyDescent="0.2">
      <c r="A475" s="20"/>
      <c r="B475" s="32" t="s">
        <v>557</v>
      </c>
      <c r="C475" s="26">
        <v>2110.21</v>
      </c>
      <c r="D475" s="27">
        <v>-1527.2</v>
      </c>
      <c r="E475" s="28">
        <f t="shared" si="8"/>
        <v>-0.72371944024528367</v>
      </c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</row>
    <row r="476" spans="1:24" ht="15.75" hidden="1" customHeight="1" x14ac:dyDescent="0.2">
      <c r="A476" s="20"/>
      <c r="B476" s="32" t="s">
        <v>459</v>
      </c>
      <c r="C476" s="26">
        <v>39612.540500000003</v>
      </c>
      <c r="D476" s="27">
        <v>-1596.6101000000001</v>
      </c>
      <c r="E476" s="28">
        <f t="shared" si="8"/>
        <v>-4.0305672896692901E-2</v>
      </c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</row>
    <row r="477" spans="1:24" ht="15.75" hidden="1" customHeight="1" x14ac:dyDescent="0.2">
      <c r="A477" s="20"/>
      <c r="B477" s="32" t="s">
        <v>448</v>
      </c>
      <c r="C477" s="26">
        <v>60951.0815</v>
      </c>
      <c r="D477" s="27">
        <v>-1622.5134</v>
      </c>
      <c r="E477" s="28">
        <f t="shared" si="8"/>
        <v>-2.661992798273809E-2</v>
      </c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</row>
    <row r="478" spans="1:24" ht="15.75" hidden="1" customHeight="1" x14ac:dyDescent="0.2">
      <c r="A478" s="20"/>
      <c r="B478" s="32" t="s">
        <v>478</v>
      </c>
      <c r="C478" s="26">
        <v>18917.650000000001</v>
      </c>
      <c r="D478" s="27">
        <v>-1647.9559999999999</v>
      </c>
      <c r="E478" s="28">
        <f t="shared" si="8"/>
        <v>-8.7112088446503644E-2</v>
      </c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</row>
    <row r="479" spans="1:24" ht="15.75" hidden="1" customHeight="1" x14ac:dyDescent="0.2">
      <c r="A479" s="20"/>
      <c r="B479" s="32" t="s">
        <v>560</v>
      </c>
      <c r="C479" s="26">
        <v>1537.94</v>
      </c>
      <c r="D479" s="27">
        <v>-1679.2403999999999</v>
      </c>
      <c r="E479" s="28">
        <f t="shared" si="8"/>
        <v>-1.0918764061016684</v>
      </c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</row>
    <row r="480" spans="1:24" ht="15.75" hidden="1" customHeight="1" x14ac:dyDescent="0.2">
      <c r="A480" s="20"/>
      <c r="B480" s="32" t="s">
        <v>449</v>
      </c>
      <c r="C480" s="26">
        <v>60966.96</v>
      </c>
      <c r="D480" s="27">
        <v>-1701.6355000000001</v>
      </c>
      <c r="E480" s="28">
        <f t="shared" si="8"/>
        <v>-2.7910781511822143E-2</v>
      </c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</row>
    <row r="481" spans="1:24" ht="15.75" hidden="1" customHeight="1" x14ac:dyDescent="0.2">
      <c r="A481" s="20"/>
      <c r="B481" s="32" t="s">
        <v>533</v>
      </c>
      <c r="C481" s="26">
        <v>8024.62</v>
      </c>
      <c r="D481" s="27">
        <v>-1795.1485</v>
      </c>
      <c r="E481" s="28">
        <f t="shared" si="8"/>
        <v>-0.22370511002390145</v>
      </c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</row>
    <row r="482" spans="1:24" ht="15.75" hidden="1" customHeight="1" x14ac:dyDescent="0.2">
      <c r="A482" s="20"/>
      <c r="B482" s="32" t="s">
        <v>493</v>
      </c>
      <c r="C482" s="26">
        <v>16934.756000000001</v>
      </c>
      <c r="D482" s="27">
        <v>-1898.7284</v>
      </c>
      <c r="E482" s="28">
        <f t="shared" si="8"/>
        <v>-0.11212021005794237</v>
      </c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</row>
    <row r="483" spans="1:24" ht="15.75" hidden="1" customHeight="1" x14ac:dyDescent="0.2">
      <c r="A483" s="20"/>
      <c r="B483" s="32" t="s">
        <v>522</v>
      </c>
      <c r="C483" s="26">
        <v>11636.2</v>
      </c>
      <c r="D483" s="27">
        <v>-1918.8308</v>
      </c>
      <c r="E483" s="28">
        <f t="shared" si="8"/>
        <v>-0.16490184080713632</v>
      </c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</row>
    <row r="484" spans="1:24" ht="15.75" hidden="1" customHeight="1" x14ac:dyDescent="0.2">
      <c r="A484" s="20"/>
      <c r="B484" s="32" t="s">
        <v>482</v>
      </c>
      <c r="C484" s="26">
        <v>20551.797999999999</v>
      </c>
      <c r="D484" s="27">
        <v>-2032.3385000000001</v>
      </c>
      <c r="E484" s="28">
        <f t="shared" si="8"/>
        <v>-9.8888598457419652E-2</v>
      </c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  <row r="485" spans="1:24" ht="15.75" hidden="1" customHeight="1" x14ac:dyDescent="0.2">
      <c r="A485" s="20"/>
      <c r="B485" s="32" t="s">
        <v>528</v>
      </c>
      <c r="C485" s="26">
        <v>11832.687</v>
      </c>
      <c r="D485" s="27">
        <v>-2102.0598</v>
      </c>
      <c r="E485" s="28">
        <f t="shared" si="8"/>
        <v>-0.17764855945230359</v>
      </c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</row>
    <row r="486" spans="1:24" ht="15.75" hidden="1" customHeight="1" x14ac:dyDescent="0.2">
      <c r="A486" s="20"/>
      <c r="B486" s="32" t="s">
        <v>542</v>
      </c>
      <c r="C486" s="26">
        <v>7470.6570000000002</v>
      </c>
      <c r="D486" s="27">
        <v>-2107.183</v>
      </c>
      <c r="E486" s="28">
        <f t="shared" si="8"/>
        <v>-0.28206126984547675</v>
      </c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</row>
    <row r="487" spans="1:24" ht="15.75" hidden="1" customHeight="1" x14ac:dyDescent="0.2">
      <c r="A487" s="20"/>
      <c r="B487" s="32" t="s">
        <v>520</v>
      </c>
      <c r="C487" s="26">
        <v>13387.5265</v>
      </c>
      <c r="D487" s="27">
        <v>-2128.4274999999998</v>
      </c>
      <c r="E487" s="28">
        <f t="shared" si="8"/>
        <v>-0.15898586643320556</v>
      </c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</row>
    <row r="488" spans="1:24" ht="15.75" hidden="1" customHeight="1" x14ac:dyDescent="0.2">
      <c r="A488" s="20"/>
      <c r="B488" s="32" t="s">
        <v>490</v>
      </c>
      <c r="C488" s="26">
        <v>20004.2405</v>
      </c>
      <c r="D488" s="27">
        <v>-2131.0599000000002</v>
      </c>
      <c r="E488" s="28">
        <f t="shared" si="8"/>
        <v>-0.10653040789026708</v>
      </c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</row>
    <row r="489" spans="1:24" ht="15.75" hidden="1" customHeight="1" x14ac:dyDescent="0.2">
      <c r="A489" s="20"/>
      <c r="B489" s="32" t="s">
        <v>541</v>
      </c>
      <c r="C489" s="26">
        <v>7726.94</v>
      </c>
      <c r="D489" s="27">
        <v>-2140.4836</v>
      </c>
      <c r="E489" s="28">
        <f t="shared" si="8"/>
        <v>-0.27701568796962317</v>
      </c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</row>
    <row r="490" spans="1:24" ht="15.75" hidden="1" customHeight="1" x14ac:dyDescent="0.2">
      <c r="A490" s="20"/>
      <c r="B490" s="32" t="s">
        <v>558</v>
      </c>
      <c r="C490" s="26">
        <v>2515.13</v>
      </c>
      <c r="D490" s="27">
        <v>-2384.6552000000001</v>
      </c>
      <c r="E490" s="28">
        <f t="shared" si="8"/>
        <v>-0.94812403335016482</v>
      </c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</row>
    <row r="491" spans="1:24" ht="15.75" hidden="1" customHeight="1" x14ac:dyDescent="0.2">
      <c r="A491" s="20"/>
      <c r="B491" s="32" t="s">
        <v>527</v>
      </c>
      <c r="C491" s="26">
        <v>14967.824500000001</v>
      </c>
      <c r="D491" s="27">
        <v>-2629.8962000000001</v>
      </c>
      <c r="E491" s="28">
        <f t="shared" si="8"/>
        <v>-0.17570330277456153</v>
      </c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</row>
    <row r="492" spans="1:24" ht="15.75" hidden="1" customHeight="1" x14ac:dyDescent="0.2">
      <c r="A492" s="20"/>
      <c r="B492" s="32" t="s">
        <v>487</v>
      </c>
      <c r="C492" s="26">
        <v>27124.225999999999</v>
      </c>
      <c r="D492" s="27">
        <v>-2810.5145000000002</v>
      </c>
      <c r="E492" s="28">
        <f t="shared" si="8"/>
        <v>-0.10361639443647168</v>
      </c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</row>
    <row r="493" spans="1:24" ht="15.75" hidden="1" customHeight="1" x14ac:dyDescent="0.2">
      <c r="A493" s="20"/>
      <c r="B493" s="32" t="s">
        <v>498</v>
      </c>
      <c r="C493" s="26">
        <v>24084.024000000001</v>
      </c>
      <c r="D493" s="27">
        <v>-2854.232</v>
      </c>
      <c r="E493" s="28">
        <f t="shared" si="8"/>
        <v>-0.11851142483498604</v>
      </c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</row>
    <row r="494" spans="1:24" ht="15.75" hidden="1" customHeight="1" x14ac:dyDescent="0.2">
      <c r="A494" s="20"/>
      <c r="B494" s="32" t="s">
        <v>538</v>
      </c>
      <c r="C494" s="26">
        <v>11404.05</v>
      </c>
      <c r="D494" s="27">
        <v>-2885.7510000000002</v>
      </c>
      <c r="E494" s="28">
        <f t="shared" si="8"/>
        <v>-0.25304615465558294</v>
      </c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</row>
    <row r="495" spans="1:24" ht="15.75" hidden="1" customHeight="1" x14ac:dyDescent="0.2">
      <c r="A495" s="20"/>
      <c r="B495" s="32" t="s">
        <v>501</v>
      </c>
      <c r="C495" s="26">
        <v>24159.631000000001</v>
      </c>
      <c r="D495" s="27">
        <v>-2907.5727000000002</v>
      </c>
      <c r="E495" s="28">
        <f t="shared" si="8"/>
        <v>-0.12034839025480148</v>
      </c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</row>
    <row r="496" spans="1:24" ht="15.75" hidden="1" customHeight="1" x14ac:dyDescent="0.2">
      <c r="A496" s="20"/>
      <c r="B496" s="32" t="s">
        <v>517</v>
      </c>
      <c r="C496" s="26">
        <v>18904.71</v>
      </c>
      <c r="D496" s="27">
        <v>-2909.3742000000002</v>
      </c>
      <c r="E496" s="28">
        <f t="shared" si="8"/>
        <v>-0.1538967907997531</v>
      </c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</row>
    <row r="497" spans="1:24" ht="15.75" hidden="1" customHeight="1" x14ac:dyDescent="0.2">
      <c r="A497" s="20"/>
      <c r="B497" s="32" t="s">
        <v>492</v>
      </c>
      <c r="C497" s="26">
        <v>28517.011999999999</v>
      </c>
      <c r="D497" s="27">
        <v>-3091.4670000000001</v>
      </c>
      <c r="E497" s="28">
        <f t="shared" si="8"/>
        <v>-0.1084078163588808</v>
      </c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</row>
    <row r="498" spans="1:24" ht="15.75" hidden="1" customHeight="1" x14ac:dyDescent="0.2">
      <c r="A498" s="20"/>
      <c r="B498" s="32" t="s">
        <v>519</v>
      </c>
      <c r="C498" s="26">
        <v>19758.874500000002</v>
      </c>
      <c r="D498" s="27">
        <v>-3125.2060000000001</v>
      </c>
      <c r="E498" s="28">
        <f t="shared" si="8"/>
        <v>-0.15816720734776668</v>
      </c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</row>
    <row r="499" spans="1:24" ht="15.75" hidden="1" customHeight="1" x14ac:dyDescent="0.2">
      <c r="A499" s="20"/>
      <c r="B499" s="32" t="s">
        <v>488</v>
      </c>
      <c r="C499" s="26">
        <v>32912.737000000001</v>
      </c>
      <c r="D499" s="27">
        <v>-3467.3085999999998</v>
      </c>
      <c r="E499" s="28">
        <f t="shared" si="8"/>
        <v>-0.10534853421640381</v>
      </c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</row>
    <row r="500" spans="1:24" ht="15.75" hidden="1" customHeight="1" x14ac:dyDescent="0.2">
      <c r="A500" s="20"/>
      <c r="B500" s="32" t="s">
        <v>547</v>
      </c>
      <c r="C500" s="26">
        <v>9113.4925000000003</v>
      </c>
      <c r="D500" s="27">
        <v>-3484.3172</v>
      </c>
      <c r="E500" s="28">
        <f t="shared" si="8"/>
        <v>-0.38232512947149511</v>
      </c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</row>
    <row r="501" spans="1:24" ht="15.75" hidden="1" customHeight="1" x14ac:dyDescent="0.2">
      <c r="A501" s="20"/>
      <c r="B501" s="32" t="s">
        <v>545</v>
      </c>
      <c r="C501" s="26">
        <v>9750.57</v>
      </c>
      <c r="D501" s="27">
        <v>-3548.232</v>
      </c>
      <c r="E501" s="28">
        <f t="shared" si="8"/>
        <v>-0.36389995661792079</v>
      </c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</row>
    <row r="502" spans="1:24" ht="15.75" hidden="1" customHeight="1" x14ac:dyDescent="0.2">
      <c r="A502" s="20"/>
      <c r="B502" s="32" t="s">
        <v>483</v>
      </c>
      <c r="C502" s="26">
        <v>38926.485500000003</v>
      </c>
      <c r="D502" s="27">
        <v>-3944.1482999999998</v>
      </c>
      <c r="E502" s="28">
        <f t="shared" si="8"/>
        <v>-0.10132300024876378</v>
      </c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</row>
    <row r="503" spans="1:24" ht="15.75" hidden="1" customHeight="1" x14ac:dyDescent="0.2">
      <c r="A503" s="20"/>
      <c r="B503" s="32" t="s">
        <v>495</v>
      </c>
      <c r="C503" s="26">
        <v>35922.280500000001</v>
      </c>
      <c r="D503" s="27">
        <v>-4109.5547999999999</v>
      </c>
      <c r="E503" s="28">
        <f t="shared" si="8"/>
        <v>-0.11440127805916998</v>
      </c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</row>
    <row r="504" spans="1:24" ht="15.75" hidden="1" customHeight="1" x14ac:dyDescent="0.2">
      <c r="A504" s="20"/>
      <c r="B504" s="32" t="s">
        <v>497</v>
      </c>
      <c r="C504" s="26">
        <v>37442.455000000002</v>
      </c>
      <c r="D504" s="27">
        <v>-4383.277</v>
      </c>
      <c r="E504" s="28">
        <f t="shared" si="8"/>
        <v>-0.11706702992632294</v>
      </c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</row>
    <row r="505" spans="1:24" ht="15.75" hidden="1" customHeight="1" x14ac:dyDescent="0.2">
      <c r="A505" s="20"/>
      <c r="B505" s="32" t="s">
        <v>485</v>
      </c>
      <c r="C505" s="26">
        <v>43359.236499999999</v>
      </c>
      <c r="D505" s="27">
        <v>-4449.1428999999998</v>
      </c>
      <c r="E505" s="28">
        <f t="shared" si="8"/>
        <v>-0.10261119104345852</v>
      </c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</row>
    <row r="506" spans="1:24" ht="15.75" hidden="1" customHeight="1" x14ac:dyDescent="0.2">
      <c r="A506" s="20"/>
      <c r="B506" s="32" t="s">
        <v>508</v>
      </c>
      <c r="C506" s="26">
        <v>38255.870999999999</v>
      </c>
      <c r="D506" s="27">
        <v>-5373.9164000000001</v>
      </c>
      <c r="E506" s="28">
        <f t="shared" si="8"/>
        <v>-0.14047298517918988</v>
      </c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</row>
    <row r="507" spans="1:24" ht="15.75" hidden="1" customHeight="1" x14ac:dyDescent="0.2">
      <c r="A507" s="20"/>
      <c r="B507" s="32" t="s">
        <v>523</v>
      </c>
      <c r="C507" s="26">
        <v>37063.183499999999</v>
      </c>
      <c r="D507" s="27">
        <v>-6181.3980000000001</v>
      </c>
      <c r="E507" s="28">
        <f t="shared" si="8"/>
        <v>-0.16678000690361636</v>
      </c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</row>
    <row r="508" spans="1:24" ht="15.75" hidden="1" customHeight="1" x14ac:dyDescent="0.2">
      <c r="A508" s="20"/>
      <c r="B508" s="32" t="s">
        <v>525</v>
      </c>
      <c r="C508" s="26">
        <v>35972.455000000002</v>
      </c>
      <c r="D508" s="27">
        <v>-6231.9735000000001</v>
      </c>
      <c r="E508" s="28">
        <f t="shared" si="8"/>
        <v>-0.17324292990289375</v>
      </c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</row>
    <row r="509" spans="1:24" ht="15.75" hidden="1" customHeight="1" x14ac:dyDescent="0.2">
      <c r="A509" s="20"/>
      <c r="B509" s="32" t="s">
        <v>559</v>
      </c>
      <c r="C509" s="26">
        <v>7679.576</v>
      </c>
      <c r="D509" s="27">
        <v>-8107.6998999999996</v>
      </c>
      <c r="E509" s="28">
        <f t="shared" si="8"/>
        <v>-1.0557483772541609</v>
      </c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</row>
    <row r="510" spans="1:24" ht="15.75" hidden="1" customHeight="1" x14ac:dyDescent="0.2">
      <c r="A510" s="20"/>
      <c r="B510" s="32" t="s">
        <v>514</v>
      </c>
      <c r="C510" s="26">
        <v>59426.590499999998</v>
      </c>
      <c r="D510" s="27">
        <v>-8758.0753999999997</v>
      </c>
      <c r="E510" s="28">
        <f t="shared" si="8"/>
        <v>-0.14737637354443209</v>
      </c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 spans="1:24" ht="15.75" hidden="1" customHeight="1" x14ac:dyDescent="0.2">
      <c r="A511" s="20"/>
      <c r="B511" s="32" t="s">
        <v>552</v>
      </c>
      <c r="C511" s="26">
        <v>16160.86</v>
      </c>
      <c r="D511" s="27">
        <v>-9857.7888999999996</v>
      </c>
      <c r="E511" s="28">
        <f t="shared" si="8"/>
        <v>-0.60997922759061085</v>
      </c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</row>
    <row r="512" spans="1:24" ht="15.75" hidden="1" customHeight="1" x14ac:dyDescent="0.2">
      <c r="A512" s="20"/>
      <c r="B512" s="32" t="s">
        <v>550</v>
      </c>
      <c r="C512" s="26">
        <v>20584.88</v>
      </c>
      <c r="D512" s="27">
        <v>-10368.609700000001</v>
      </c>
      <c r="E512" s="28">
        <f t="shared" si="8"/>
        <v>-0.50370027418182672</v>
      </c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</row>
    <row r="513" spans="1:24" ht="15.75" hidden="1" customHeight="1" x14ac:dyDescent="0.2">
      <c r="A513" s="20"/>
      <c r="B513" s="32" t="s">
        <v>536</v>
      </c>
      <c r="C513" s="26">
        <v>43907.273500000003</v>
      </c>
      <c r="D513" s="27">
        <v>-10495.168100000001</v>
      </c>
      <c r="E513" s="28">
        <f t="shared" si="8"/>
        <v>-0.23903028503922022</v>
      </c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</row>
    <row r="514" spans="1:24" ht="15.75" hidden="1" customHeight="1" x14ac:dyDescent="0.2">
      <c r="A514" s="20"/>
      <c r="B514" s="32" t="s">
        <v>563</v>
      </c>
      <c r="C514" s="26">
        <v>5107.3999999999996</v>
      </c>
      <c r="D514" s="27">
        <v>-12005.6325</v>
      </c>
      <c r="E514" s="28">
        <f t="shared" si="8"/>
        <v>-2.3506348631397582</v>
      </c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</row>
    <row r="515" spans="1:24" ht="15.75" hidden="1" customHeight="1" x14ac:dyDescent="0.2">
      <c r="A515" s="20"/>
      <c r="B515" s="32" t="s">
        <v>540</v>
      </c>
      <c r="C515" s="26">
        <v>53002.059000000001</v>
      </c>
      <c r="D515" s="27">
        <v>-14441.4041</v>
      </c>
      <c r="E515" s="28">
        <f t="shared" si="8"/>
        <v>-0.27246873748810396</v>
      </c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</row>
    <row r="516" spans="1:24" ht="15.75" hidden="1" customHeight="1" x14ac:dyDescent="0.2">
      <c r="A516" s="20"/>
      <c r="B516" s="32" t="s">
        <v>534</v>
      </c>
      <c r="C516" s="26">
        <v>66223.842499999999</v>
      </c>
      <c r="D516" s="27">
        <v>-15579.5152</v>
      </c>
      <c r="E516" s="28">
        <f t="shared" ref="E516" si="9">D516/C516</f>
        <v>-0.23525537951078571</v>
      </c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</row>
    <row r="517" spans="1:24" ht="15.75" customHeight="1" x14ac:dyDescent="0.2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</row>
    <row r="518" spans="1:24" ht="15.75" customHeight="1" x14ac:dyDescent="0.2">
      <c r="A518" s="20"/>
      <c r="B518" s="20"/>
      <c r="C518" s="21"/>
      <c r="D518" s="21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</row>
    <row r="519" spans="1:24" ht="15.75" customHeight="1" x14ac:dyDescent="0.2">
      <c r="A519" s="20"/>
      <c r="B519" s="20"/>
      <c r="C519" s="21"/>
      <c r="D519" s="21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</row>
    <row r="520" spans="1:24" ht="15.75" customHeight="1" x14ac:dyDescent="0.2">
      <c r="A520" s="20"/>
      <c r="B520" s="20"/>
      <c r="C520" s="21"/>
      <c r="D520" s="21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</row>
    <row r="521" spans="1:24" ht="15.75" customHeight="1" x14ac:dyDescent="0.2">
      <c r="A521" s="20"/>
      <c r="B521" s="20"/>
      <c r="C521" s="21"/>
      <c r="D521" s="21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</row>
    <row r="522" spans="1:24" ht="15.75" customHeight="1" x14ac:dyDescent="0.2">
      <c r="A522" s="20"/>
      <c r="B522" s="20"/>
      <c r="C522" s="21"/>
      <c r="D522" s="21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</row>
    <row r="523" spans="1:24" ht="15.75" customHeight="1" x14ac:dyDescent="0.2">
      <c r="A523" s="20"/>
      <c r="B523" s="20"/>
      <c r="C523" s="21"/>
      <c r="D523" s="21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</row>
    <row r="524" spans="1:24" ht="15.75" customHeight="1" x14ac:dyDescent="0.2">
      <c r="A524" s="20"/>
      <c r="B524" s="20"/>
      <c r="C524" s="21"/>
      <c r="D524" s="21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 spans="1:24" ht="15.75" customHeight="1" x14ac:dyDescent="0.2">
      <c r="A525" s="20"/>
      <c r="B525" s="20"/>
      <c r="C525" s="21"/>
      <c r="D525" s="21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</row>
    <row r="526" spans="1:24" ht="15.75" customHeight="1" x14ac:dyDescent="0.2">
      <c r="A526" s="20"/>
      <c r="B526" s="20"/>
      <c r="C526" s="21"/>
      <c r="D526" s="21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</row>
    <row r="527" spans="1:24" ht="15.75" customHeight="1" x14ac:dyDescent="0.2">
      <c r="A527" s="20"/>
      <c r="B527" s="20"/>
      <c r="C527" s="21"/>
      <c r="D527" s="21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</row>
    <row r="528" spans="1:24" ht="15.75" customHeight="1" x14ac:dyDescent="0.2">
      <c r="A528" s="20"/>
      <c r="B528" s="20"/>
      <c r="C528" s="21"/>
      <c r="D528" s="21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 spans="1:24" ht="15.75" customHeight="1" x14ac:dyDescent="0.2">
      <c r="A529" s="20"/>
      <c r="B529" s="20"/>
      <c r="C529" s="21"/>
      <c r="D529" s="21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</row>
    <row r="530" spans="1:24" ht="15.75" customHeight="1" x14ac:dyDescent="0.2">
      <c r="A530" s="20"/>
      <c r="B530" s="20"/>
      <c r="C530" s="21"/>
      <c r="D530" s="21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</row>
    <row r="531" spans="1:24" ht="15.75" customHeight="1" x14ac:dyDescent="0.2">
      <c r="A531" s="20"/>
      <c r="B531" s="20"/>
      <c r="C531" s="21"/>
      <c r="D531" s="21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</row>
    <row r="532" spans="1:24" ht="15.75" customHeight="1" x14ac:dyDescent="0.2">
      <c r="A532" s="20"/>
      <c r="B532" s="20"/>
      <c r="C532" s="21"/>
      <c r="D532" s="21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</row>
    <row r="533" spans="1:24" ht="15.75" customHeight="1" x14ac:dyDescent="0.2">
      <c r="A533" s="20"/>
      <c r="B533" s="20"/>
      <c r="C533" s="21"/>
      <c r="D533" s="21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</row>
    <row r="534" spans="1:24" ht="15.75" customHeight="1" x14ac:dyDescent="0.2">
      <c r="A534" s="20"/>
      <c r="B534" s="20"/>
      <c r="C534" s="21"/>
      <c r="D534" s="21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</row>
    <row r="535" spans="1:24" ht="15.75" customHeight="1" x14ac:dyDescent="0.2">
      <c r="A535" s="20"/>
      <c r="B535" s="20"/>
      <c r="C535" s="21"/>
      <c r="D535" s="21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</row>
    <row r="536" spans="1:24" ht="15.75" customHeight="1" x14ac:dyDescent="0.2">
      <c r="A536" s="20"/>
      <c r="B536" s="20"/>
      <c r="C536" s="21"/>
      <c r="D536" s="21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 spans="1:24" ht="15.75" customHeight="1" x14ac:dyDescent="0.2">
      <c r="A537" s="20"/>
      <c r="B537" s="20"/>
      <c r="C537" s="21"/>
      <c r="D537" s="21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</row>
    <row r="538" spans="1:24" ht="15.75" customHeight="1" x14ac:dyDescent="0.2">
      <c r="A538" s="20"/>
      <c r="B538" s="20"/>
      <c r="C538" s="21"/>
      <c r="D538" s="21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</row>
    <row r="539" spans="1:24" ht="15.75" customHeight="1" x14ac:dyDescent="0.2">
      <c r="A539" s="20"/>
      <c r="B539" s="20"/>
      <c r="C539" s="21"/>
      <c r="D539" s="21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</row>
    <row r="540" spans="1:24" ht="15.75" customHeight="1" x14ac:dyDescent="0.2">
      <c r="A540" s="20"/>
      <c r="B540" s="20"/>
      <c r="C540" s="21"/>
      <c r="D540" s="21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</row>
    <row r="541" spans="1:24" ht="15.75" customHeight="1" x14ac:dyDescent="0.2">
      <c r="A541" s="20"/>
      <c r="B541" s="20"/>
      <c r="C541" s="21"/>
      <c r="D541" s="21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</row>
    <row r="542" spans="1:24" ht="15.75" customHeight="1" x14ac:dyDescent="0.2">
      <c r="A542" s="20"/>
      <c r="B542" s="20"/>
      <c r="C542" s="21"/>
      <c r="D542" s="21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</row>
    <row r="543" spans="1:24" ht="15.75" customHeight="1" x14ac:dyDescent="0.2">
      <c r="A543" s="20"/>
      <c r="B543" s="20"/>
      <c r="C543" s="21"/>
      <c r="D543" s="21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</row>
    <row r="544" spans="1:24" ht="15.75" customHeight="1" x14ac:dyDescent="0.2">
      <c r="A544" s="20"/>
      <c r="B544" s="20"/>
      <c r="C544" s="21"/>
      <c r="D544" s="21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</row>
    <row r="545" spans="1:24" ht="15.75" customHeight="1" x14ac:dyDescent="0.2">
      <c r="A545" s="20"/>
      <c r="B545" s="20"/>
      <c r="C545" s="21"/>
      <c r="D545" s="21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</row>
    <row r="546" spans="1:24" ht="15.75" customHeight="1" x14ac:dyDescent="0.2">
      <c r="A546" s="20"/>
      <c r="B546" s="20"/>
      <c r="C546" s="21"/>
      <c r="D546" s="21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</row>
    <row r="547" spans="1:24" ht="15.75" customHeight="1" x14ac:dyDescent="0.2">
      <c r="A547" s="20"/>
      <c r="B547" s="20"/>
      <c r="C547" s="21"/>
      <c r="D547" s="21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</row>
    <row r="548" spans="1:24" ht="15.75" customHeight="1" x14ac:dyDescent="0.2">
      <c r="A548" s="20"/>
      <c r="B548" s="20"/>
      <c r="C548" s="21"/>
      <c r="D548" s="21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</row>
    <row r="549" spans="1:24" ht="15.75" customHeight="1" x14ac:dyDescent="0.2">
      <c r="A549" s="20"/>
      <c r="B549" s="20"/>
      <c r="C549" s="21"/>
      <c r="D549" s="21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</row>
    <row r="550" spans="1:24" ht="15.75" customHeight="1" x14ac:dyDescent="0.2">
      <c r="A550" s="20"/>
      <c r="B550" s="20"/>
      <c r="C550" s="21"/>
      <c r="D550" s="21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 spans="1:24" ht="15.75" customHeight="1" x14ac:dyDescent="0.2">
      <c r="A551" s="20"/>
      <c r="B551" s="20"/>
      <c r="C551" s="21"/>
      <c r="D551" s="21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</row>
    <row r="552" spans="1:24" ht="15.75" customHeight="1" x14ac:dyDescent="0.2">
      <c r="A552" s="20"/>
      <c r="B552" s="20"/>
      <c r="C552" s="21"/>
      <c r="D552" s="21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</row>
    <row r="553" spans="1:24" ht="15.75" customHeight="1" x14ac:dyDescent="0.2">
      <c r="A553" s="20"/>
      <c r="B553" s="20"/>
      <c r="C553" s="21"/>
      <c r="D553" s="21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</row>
    <row r="554" spans="1:24" ht="15.75" customHeight="1" x14ac:dyDescent="0.2">
      <c r="A554" s="20"/>
      <c r="B554" s="20"/>
      <c r="C554" s="21"/>
      <c r="D554" s="21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</row>
    <row r="555" spans="1:24" ht="15.75" customHeight="1" x14ac:dyDescent="0.2">
      <c r="A555" s="20"/>
      <c r="B555" s="20"/>
      <c r="C555" s="21"/>
      <c r="D555" s="21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</row>
    <row r="556" spans="1:24" ht="15.75" customHeight="1" x14ac:dyDescent="0.2">
      <c r="A556" s="20"/>
      <c r="B556" s="20"/>
      <c r="C556" s="21"/>
      <c r="D556" s="21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</row>
    <row r="557" spans="1:24" ht="15.75" customHeight="1" x14ac:dyDescent="0.2">
      <c r="A557" s="20"/>
      <c r="B557" s="20"/>
      <c r="C557" s="21"/>
      <c r="D557" s="21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</row>
    <row r="558" spans="1:24" ht="15.75" customHeight="1" x14ac:dyDescent="0.2">
      <c r="A558" s="20"/>
      <c r="B558" s="20"/>
      <c r="C558" s="21"/>
      <c r="D558" s="21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</row>
    <row r="559" spans="1:24" ht="15.75" customHeight="1" x14ac:dyDescent="0.2">
      <c r="A559" s="20"/>
      <c r="B559" s="20"/>
      <c r="C559" s="21"/>
      <c r="D559" s="21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</row>
    <row r="560" spans="1:24" ht="15.75" customHeight="1" x14ac:dyDescent="0.2">
      <c r="A560" s="20"/>
      <c r="B560" s="20"/>
      <c r="C560" s="21"/>
      <c r="D560" s="21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</row>
    <row r="561" spans="1:24" ht="15.75" customHeight="1" x14ac:dyDescent="0.2">
      <c r="A561" s="20"/>
      <c r="B561" s="20"/>
      <c r="C561" s="21"/>
      <c r="D561" s="21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</row>
    <row r="562" spans="1:24" ht="15.75" customHeight="1" x14ac:dyDescent="0.2">
      <c r="A562" s="20"/>
      <c r="B562" s="20"/>
      <c r="C562" s="21"/>
      <c r="D562" s="21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</row>
    <row r="563" spans="1:24" ht="15.75" customHeight="1" x14ac:dyDescent="0.2">
      <c r="A563" s="20"/>
      <c r="B563" s="20"/>
      <c r="C563" s="21"/>
      <c r="D563" s="21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</row>
    <row r="564" spans="1:24" ht="15.75" customHeight="1" x14ac:dyDescent="0.2">
      <c r="A564" s="20"/>
      <c r="B564" s="20"/>
      <c r="C564" s="21"/>
      <c r="D564" s="21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</row>
    <row r="565" spans="1:24" ht="15.75" customHeight="1" x14ac:dyDescent="0.2">
      <c r="A565" s="20"/>
      <c r="B565" s="20"/>
      <c r="C565" s="21"/>
      <c r="D565" s="21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</row>
    <row r="566" spans="1:24" ht="15.75" customHeight="1" x14ac:dyDescent="0.2">
      <c r="A566" s="20"/>
      <c r="B566" s="20"/>
      <c r="C566" s="21"/>
      <c r="D566" s="21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</row>
    <row r="567" spans="1:24" ht="15.75" customHeight="1" x14ac:dyDescent="0.2">
      <c r="A567" s="20"/>
      <c r="B567" s="20"/>
      <c r="C567" s="21"/>
      <c r="D567" s="21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</row>
    <row r="568" spans="1:24" ht="15.75" customHeight="1" x14ac:dyDescent="0.2">
      <c r="A568" s="20"/>
      <c r="B568" s="20"/>
      <c r="C568" s="21"/>
      <c r="D568" s="21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</row>
    <row r="569" spans="1:24" ht="15.75" customHeight="1" x14ac:dyDescent="0.2">
      <c r="A569" s="20"/>
      <c r="B569" s="20"/>
      <c r="C569" s="21"/>
      <c r="D569" s="21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</row>
    <row r="570" spans="1:24" ht="15.75" customHeight="1" x14ac:dyDescent="0.2">
      <c r="A570" s="20"/>
      <c r="B570" s="20"/>
      <c r="C570" s="21"/>
      <c r="D570" s="21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</row>
    <row r="571" spans="1:24" ht="15.75" customHeight="1" x14ac:dyDescent="0.2">
      <c r="A571" s="20"/>
      <c r="B571" s="20"/>
      <c r="C571" s="21"/>
      <c r="D571" s="21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</row>
    <row r="572" spans="1:24" ht="15.75" customHeight="1" x14ac:dyDescent="0.2">
      <c r="A572" s="20"/>
      <c r="B572" s="20"/>
      <c r="C572" s="21"/>
      <c r="D572" s="21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</row>
    <row r="573" spans="1:24" ht="15.75" customHeight="1" x14ac:dyDescent="0.2">
      <c r="A573" s="20"/>
      <c r="B573" s="20"/>
      <c r="C573" s="21"/>
      <c r="D573" s="21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</row>
    <row r="574" spans="1:24" ht="15.75" customHeight="1" x14ac:dyDescent="0.2">
      <c r="A574" s="20"/>
      <c r="B574" s="20"/>
      <c r="C574" s="21"/>
      <c r="D574" s="21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</row>
    <row r="575" spans="1:24" ht="15.75" customHeight="1" x14ac:dyDescent="0.2">
      <c r="A575" s="20"/>
      <c r="B575" s="20"/>
      <c r="C575" s="21"/>
      <c r="D575" s="21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</row>
    <row r="576" spans="1:24" ht="15.75" customHeight="1" x14ac:dyDescent="0.2">
      <c r="A576" s="20"/>
      <c r="B576" s="20"/>
      <c r="C576" s="21"/>
      <c r="D576" s="21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</row>
    <row r="577" spans="1:24" ht="15.75" customHeight="1" x14ac:dyDescent="0.2">
      <c r="A577" s="20"/>
      <c r="B577" s="20"/>
      <c r="C577" s="21"/>
      <c r="D577" s="21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</row>
    <row r="578" spans="1:24" ht="15.75" customHeight="1" x14ac:dyDescent="0.2">
      <c r="A578" s="20"/>
      <c r="B578" s="20"/>
      <c r="C578" s="21"/>
      <c r="D578" s="21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</row>
    <row r="579" spans="1:24" ht="15.75" customHeight="1" x14ac:dyDescent="0.2">
      <c r="A579" s="20"/>
      <c r="B579" s="20"/>
      <c r="C579" s="21"/>
      <c r="D579" s="21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</row>
    <row r="580" spans="1:24" ht="15.75" customHeight="1" x14ac:dyDescent="0.2">
      <c r="A580" s="20"/>
      <c r="B580" s="20"/>
      <c r="C580" s="21"/>
      <c r="D580" s="21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</row>
    <row r="581" spans="1:24" ht="15.75" customHeight="1" x14ac:dyDescent="0.2">
      <c r="A581" s="20"/>
      <c r="B581" s="20"/>
      <c r="C581" s="21"/>
      <c r="D581" s="21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</row>
    <row r="582" spans="1:24" ht="15.75" customHeight="1" x14ac:dyDescent="0.2">
      <c r="A582" s="20"/>
      <c r="B582" s="20"/>
      <c r="C582" s="21"/>
      <c r="D582" s="21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</row>
    <row r="583" spans="1:24" ht="15.75" customHeight="1" x14ac:dyDescent="0.2">
      <c r="A583" s="20"/>
      <c r="B583" s="20"/>
      <c r="C583" s="21"/>
      <c r="D583" s="21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</row>
    <row r="584" spans="1:24" ht="15.75" customHeight="1" x14ac:dyDescent="0.2">
      <c r="A584" s="20"/>
      <c r="B584" s="20"/>
      <c r="C584" s="21"/>
      <c r="D584" s="21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</row>
    <row r="585" spans="1:24" ht="15.75" customHeight="1" x14ac:dyDescent="0.2">
      <c r="A585" s="20"/>
      <c r="B585" s="20"/>
      <c r="C585" s="21"/>
      <c r="D585" s="21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</row>
    <row r="586" spans="1:24" ht="15.75" customHeight="1" x14ac:dyDescent="0.2">
      <c r="A586" s="20"/>
      <c r="B586" s="20"/>
      <c r="C586" s="21"/>
      <c r="D586" s="21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</row>
    <row r="587" spans="1:24" ht="15.75" customHeight="1" x14ac:dyDescent="0.2">
      <c r="A587" s="20"/>
      <c r="B587" s="20"/>
      <c r="C587" s="21"/>
      <c r="D587" s="21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</row>
    <row r="588" spans="1:24" ht="15.75" customHeight="1" x14ac:dyDescent="0.2">
      <c r="A588" s="20"/>
      <c r="B588" s="20"/>
      <c r="C588" s="21"/>
      <c r="D588" s="21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</row>
    <row r="589" spans="1:24" ht="15.75" customHeight="1" x14ac:dyDescent="0.2">
      <c r="A589" s="20"/>
      <c r="B589" s="20"/>
      <c r="C589" s="21"/>
      <c r="D589" s="21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</row>
    <row r="590" spans="1:24" ht="15.75" customHeight="1" x14ac:dyDescent="0.2">
      <c r="A590" s="20"/>
      <c r="B590" s="20"/>
      <c r="C590" s="21"/>
      <c r="D590" s="21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 spans="1:24" ht="15.75" customHeight="1" x14ac:dyDescent="0.2">
      <c r="A591" s="20"/>
      <c r="B591" s="20"/>
      <c r="C591" s="21"/>
      <c r="D591" s="21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</row>
    <row r="592" spans="1:24" ht="15.75" customHeight="1" x14ac:dyDescent="0.2">
      <c r="A592" s="20"/>
      <c r="B592" s="20"/>
      <c r="C592" s="21"/>
      <c r="D592" s="21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</row>
    <row r="593" spans="1:24" ht="15.75" customHeight="1" x14ac:dyDescent="0.2">
      <c r="A593" s="20"/>
      <c r="B593" s="20"/>
      <c r="C593" s="21"/>
      <c r="D593" s="21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</row>
    <row r="594" spans="1:24" ht="15.75" customHeight="1" x14ac:dyDescent="0.2">
      <c r="A594" s="20"/>
      <c r="B594" s="20"/>
      <c r="C594" s="21"/>
      <c r="D594" s="21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</row>
    <row r="595" spans="1:24" ht="15.75" customHeight="1" x14ac:dyDescent="0.2">
      <c r="A595" s="20"/>
      <c r="B595" s="20"/>
      <c r="C595" s="21"/>
      <c r="D595" s="21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</row>
    <row r="596" spans="1:24" ht="15.75" customHeight="1" x14ac:dyDescent="0.2">
      <c r="A596" s="20"/>
      <c r="B596" s="20"/>
      <c r="C596" s="21"/>
      <c r="D596" s="21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</row>
    <row r="597" spans="1:24" ht="15.75" customHeight="1" x14ac:dyDescent="0.2">
      <c r="A597" s="20"/>
      <c r="B597" s="20"/>
      <c r="C597" s="21"/>
      <c r="D597" s="21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</row>
    <row r="598" spans="1:24" ht="15.75" customHeight="1" x14ac:dyDescent="0.2">
      <c r="A598" s="20"/>
      <c r="B598" s="20"/>
      <c r="C598" s="21"/>
      <c r="D598" s="21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</row>
    <row r="599" spans="1:24" ht="15.75" customHeight="1" x14ac:dyDescent="0.2">
      <c r="A599" s="20"/>
      <c r="B599" s="20"/>
      <c r="C599" s="21"/>
      <c r="D599" s="21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</row>
    <row r="600" spans="1:24" ht="15.75" customHeight="1" x14ac:dyDescent="0.2">
      <c r="A600" s="20"/>
      <c r="B600" s="20"/>
      <c r="C600" s="21"/>
      <c r="D600" s="21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</row>
    <row r="601" spans="1:24" ht="15.75" customHeight="1" x14ac:dyDescent="0.2">
      <c r="A601" s="20"/>
      <c r="B601" s="20"/>
      <c r="C601" s="21"/>
      <c r="D601" s="21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</row>
    <row r="602" spans="1:24" ht="15.75" customHeight="1" x14ac:dyDescent="0.2">
      <c r="A602" s="20"/>
      <c r="B602" s="20"/>
      <c r="C602" s="21"/>
      <c r="D602" s="21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</row>
    <row r="603" spans="1:24" ht="15.75" customHeight="1" x14ac:dyDescent="0.2">
      <c r="A603" s="20"/>
      <c r="B603" s="20"/>
      <c r="C603" s="21"/>
      <c r="D603" s="21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</row>
    <row r="604" spans="1:24" ht="15.75" customHeight="1" x14ac:dyDescent="0.2">
      <c r="A604" s="20"/>
      <c r="B604" s="20"/>
      <c r="C604" s="21"/>
      <c r="D604" s="21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</row>
    <row r="605" spans="1:24" ht="15.75" customHeight="1" x14ac:dyDescent="0.2">
      <c r="A605" s="20"/>
      <c r="B605" s="20"/>
      <c r="C605" s="21"/>
      <c r="D605" s="21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</row>
    <row r="606" spans="1:24" ht="15.75" customHeight="1" x14ac:dyDescent="0.2">
      <c r="A606" s="20"/>
      <c r="B606" s="20"/>
      <c r="C606" s="21"/>
      <c r="D606" s="21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</row>
    <row r="607" spans="1:24" ht="15.75" customHeight="1" x14ac:dyDescent="0.2">
      <c r="A607" s="20"/>
      <c r="B607" s="20"/>
      <c r="C607" s="21"/>
      <c r="D607" s="21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 spans="1:24" ht="15.75" customHeight="1" x14ac:dyDescent="0.2">
      <c r="A608" s="20"/>
      <c r="B608" s="20"/>
      <c r="C608" s="21"/>
      <c r="D608" s="21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 spans="1:24" ht="15.75" customHeight="1" x14ac:dyDescent="0.2">
      <c r="A609" s="20"/>
      <c r="B609" s="20"/>
      <c r="C609" s="21"/>
      <c r="D609" s="21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</row>
    <row r="610" spans="1:24" ht="15.75" customHeight="1" x14ac:dyDescent="0.2">
      <c r="A610" s="20"/>
      <c r="B610" s="20"/>
      <c r="C610" s="21"/>
      <c r="D610" s="21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</row>
    <row r="611" spans="1:24" ht="15.75" customHeight="1" x14ac:dyDescent="0.2">
      <c r="A611" s="20"/>
      <c r="B611" s="20"/>
      <c r="C611" s="21"/>
      <c r="D611" s="21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</row>
    <row r="612" spans="1:24" ht="15.75" customHeight="1" x14ac:dyDescent="0.2">
      <c r="A612" s="20"/>
      <c r="B612" s="20"/>
      <c r="C612" s="21"/>
      <c r="D612" s="21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</row>
    <row r="613" spans="1:24" ht="15.75" customHeight="1" x14ac:dyDescent="0.2">
      <c r="A613" s="20"/>
      <c r="B613" s="20"/>
      <c r="C613" s="21"/>
      <c r="D613" s="21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</row>
    <row r="614" spans="1:24" ht="15.75" customHeight="1" x14ac:dyDescent="0.2">
      <c r="A614" s="20"/>
      <c r="B614" s="20"/>
      <c r="C614" s="21"/>
      <c r="D614" s="21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</row>
    <row r="615" spans="1:24" ht="15.75" customHeight="1" x14ac:dyDescent="0.2">
      <c r="A615" s="20"/>
      <c r="B615" s="20"/>
      <c r="C615" s="21"/>
      <c r="D615" s="21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</row>
    <row r="616" spans="1:24" ht="15.75" customHeight="1" x14ac:dyDescent="0.2">
      <c r="A616" s="20"/>
      <c r="B616" s="20"/>
      <c r="C616" s="21"/>
      <c r="D616" s="21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</row>
    <row r="617" spans="1:24" ht="15.75" customHeight="1" x14ac:dyDescent="0.2">
      <c r="A617" s="20"/>
      <c r="B617" s="20"/>
      <c r="C617" s="21"/>
      <c r="D617" s="21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</row>
    <row r="618" spans="1:24" ht="15.75" customHeight="1" x14ac:dyDescent="0.2">
      <c r="A618" s="20"/>
      <c r="B618" s="20"/>
      <c r="C618" s="21"/>
      <c r="D618" s="21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</row>
    <row r="619" spans="1:24" ht="15.75" customHeight="1" x14ac:dyDescent="0.2">
      <c r="A619" s="20"/>
      <c r="B619" s="20"/>
      <c r="C619" s="21"/>
      <c r="D619" s="21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</row>
    <row r="620" spans="1:24" ht="15.75" customHeight="1" x14ac:dyDescent="0.2">
      <c r="A620" s="20"/>
      <c r="B620" s="20"/>
      <c r="C620" s="21"/>
      <c r="D620" s="21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</row>
    <row r="621" spans="1:24" ht="15.75" customHeight="1" x14ac:dyDescent="0.2">
      <c r="A621" s="20"/>
      <c r="B621" s="20"/>
      <c r="C621" s="21"/>
      <c r="D621" s="21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</row>
    <row r="622" spans="1:24" ht="15.75" customHeight="1" x14ac:dyDescent="0.2">
      <c r="A622" s="20"/>
      <c r="B622" s="20"/>
      <c r="C622" s="21"/>
      <c r="D622" s="21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</row>
    <row r="623" spans="1:24" ht="15.75" customHeight="1" x14ac:dyDescent="0.2">
      <c r="A623" s="20"/>
      <c r="B623" s="20"/>
      <c r="C623" s="21"/>
      <c r="D623" s="21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</row>
    <row r="624" spans="1:24" ht="15.75" customHeight="1" x14ac:dyDescent="0.2">
      <c r="A624" s="20"/>
      <c r="B624" s="20"/>
      <c r="C624" s="21"/>
      <c r="D624" s="21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</row>
    <row r="625" spans="1:24" ht="15.75" customHeight="1" x14ac:dyDescent="0.2">
      <c r="A625" s="20"/>
      <c r="B625" s="20"/>
      <c r="C625" s="21"/>
      <c r="D625" s="21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</row>
    <row r="626" spans="1:24" ht="15.75" customHeight="1" x14ac:dyDescent="0.2">
      <c r="A626" s="20"/>
      <c r="B626" s="20"/>
      <c r="C626" s="21"/>
      <c r="D626" s="21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</row>
    <row r="627" spans="1:24" ht="15.75" customHeight="1" x14ac:dyDescent="0.2">
      <c r="A627" s="20"/>
      <c r="B627" s="20"/>
      <c r="C627" s="21"/>
      <c r="D627" s="21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</row>
    <row r="628" spans="1:24" ht="15.75" customHeight="1" x14ac:dyDescent="0.2">
      <c r="A628" s="20"/>
      <c r="B628" s="20"/>
      <c r="C628" s="21"/>
      <c r="D628" s="21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</row>
    <row r="629" spans="1:24" ht="15.75" customHeight="1" x14ac:dyDescent="0.2">
      <c r="A629" s="20"/>
      <c r="B629" s="20"/>
      <c r="C629" s="21"/>
      <c r="D629" s="21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</row>
    <row r="630" spans="1:24" ht="15.75" customHeight="1" x14ac:dyDescent="0.2">
      <c r="A630" s="20"/>
      <c r="B630" s="20"/>
      <c r="C630" s="21"/>
      <c r="D630" s="21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</row>
    <row r="631" spans="1:24" ht="15.75" customHeight="1" x14ac:dyDescent="0.2">
      <c r="A631" s="20"/>
      <c r="B631" s="20"/>
      <c r="C631" s="21"/>
      <c r="D631" s="21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</row>
    <row r="632" spans="1:24" ht="15.75" customHeight="1" x14ac:dyDescent="0.2">
      <c r="A632" s="20"/>
      <c r="B632" s="20"/>
      <c r="C632" s="21"/>
      <c r="D632" s="21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</row>
    <row r="633" spans="1:24" ht="15.75" customHeight="1" x14ac:dyDescent="0.2">
      <c r="A633" s="20"/>
      <c r="B633" s="20"/>
      <c r="C633" s="21"/>
      <c r="D633" s="21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</row>
    <row r="634" spans="1:24" ht="15.75" customHeight="1" x14ac:dyDescent="0.2">
      <c r="A634" s="20"/>
      <c r="B634" s="20"/>
      <c r="C634" s="21"/>
      <c r="D634" s="21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</row>
    <row r="635" spans="1:24" ht="15.75" customHeight="1" x14ac:dyDescent="0.2">
      <c r="A635" s="20"/>
      <c r="B635" s="20"/>
      <c r="C635" s="21"/>
      <c r="D635" s="21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</row>
    <row r="636" spans="1:24" ht="15.75" customHeight="1" x14ac:dyDescent="0.2">
      <c r="A636" s="20"/>
      <c r="B636" s="20"/>
      <c r="C636" s="21"/>
      <c r="D636" s="21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</row>
    <row r="637" spans="1:24" ht="15.75" customHeight="1" x14ac:dyDescent="0.2">
      <c r="A637" s="20"/>
      <c r="B637" s="20"/>
      <c r="C637" s="21"/>
      <c r="D637" s="21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</row>
    <row r="638" spans="1:24" ht="15.75" customHeight="1" x14ac:dyDescent="0.2">
      <c r="A638" s="20"/>
      <c r="B638" s="20"/>
      <c r="C638" s="21"/>
      <c r="D638" s="21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</row>
    <row r="639" spans="1:24" ht="15.75" customHeight="1" x14ac:dyDescent="0.2">
      <c r="A639" s="20"/>
      <c r="B639" s="20"/>
      <c r="C639" s="21"/>
      <c r="D639" s="21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</row>
    <row r="640" spans="1:24" ht="15.75" customHeight="1" x14ac:dyDescent="0.2">
      <c r="A640" s="20"/>
      <c r="B640" s="20"/>
      <c r="C640" s="21"/>
      <c r="D640" s="21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</row>
    <row r="641" spans="1:24" ht="15.75" customHeight="1" x14ac:dyDescent="0.2">
      <c r="A641" s="20"/>
      <c r="B641" s="20"/>
      <c r="C641" s="21"/>
      <c r="D641" s="21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</row>
    <row r="642" spans="1:24" ht="15.75" customHeight="1" x14ac:dyDescent="0.2">
      <c r="A642" s="20"/>
      <c r="B642" s="20"/>
      <c r="C642" s="21"/>
      <c r="D642" s="21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</row>
    <row r="643" spans="1:24" ht="15.75" customHeight="1" x14ac:dyDescent="0.2">
      <c r="A643" s="20"/>
      <c r="B643" s="20"/>
      <c r="C643" s="21"/>
      <c r="D643" s="21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</row>
    <row r="644" spans="1:24" ht="15.75" customHeight="1" x14ac:dyDescent="0.2">
      <c r="A644" s="20"/>
      <c r="B644" s="20"/>
      <c r="C644" s="21"/>
      <c r="D644" s="21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</row>
    <row r="645" spans="1:24" ht="15.75" customHeight="1" x14ac:dyDescent="0.2">
      <c r="A645" s="20"/>
      <c r="B645" s="20"/>
      <c r="C645" s="21"/>
      <c r="D645" s="21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</row>
    <row r="646" spans="1:24" ht="15.75" customHeight="1" x14ac:dyDescent="0.2">
      <c r="A646" s="20"/>
      <c r="B646" s="20"/>
      <c r="C646" s="21"/>
      <c r="D646" s="21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</row>
    <row r="647" spans="1:24" ht="15.75" customHeight="1" x14ac:dyDescent="0.2">
      <c r="A647" s="20"/>
      <c r="B647" s="20"/>
      <c r="C647" s="21"/>
      <c r="D647" s="21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</row>
    <row r="648" spans="1:24" ht="15.75" customHeight="1" x14ac:dyDescent="0.2">
      <c r="A648" s="20"/>
      <c r="B648" s="20"/>
      <c r="C648" s="21"/>
      <c r="D648" s="21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</row>
    <row r="649" spans="1:24" ht="15.75" customHeight="1" x14ac:dyDescent="0.2">
      <c r="A649" s="20"/>
      <c r="B649" s="20"/>
      <c r="C649" s="21"/>
      <c r="D649" s="21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</row>
    <row r="650" spans="1:24" ht="15.75" customHeight="1" x14ac:dyDescent="0.2">
      <c r="A650" s="20"/>
      <c r="B650" s="20"/>
      <c r="C650" s="21"/>
      <c r="D650" s="21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</row>
    <row r="651" spans="1:24" ht="15.75" customHeight="1" x14ac:dyDescent="0.2">
      <c r="A651" s="20"/>
      <c r="B651" s="20"/>
      <c r="C651" s="21"/>
      <c r="D651" s="21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</row>
    <row r="652" spans="1:24" ht="15.75" customHeight="1" x14ac:dyDescent="0.2">
      <c r="A652" s="20"/>
      <c r="B652" s="20"/>
      <c r="C652" s="21"/>
      <c r="D652" s="21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</row>
    <row r="653" spans="1:24" ht="15.75" customHeight="1" x14ac:dyDescent="0.2">
      <c r="A653" s="20"/>
      <c r="B653" s="20"/>
      <c r="C653" s="21"/>
      <c r="D653" s="21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</row>
    <row r="654" spans="1:24" ht="15.75" customHeight="1" x14ac:dyDescent="0.2">
      <c r="A654" s="20"/>
      <c r="B654" s="20"/>
      <c r="C654" s="21"/>
      <c r="D654" s="21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</row>
    <row r="655" spans="1:24" ht="15.75" customHeight="1" x14ac:dyDescent="0.2">
      <c r="A655" s="20"/>
      <c r="B655" s="20"/>
      <c r="C655" s="21"/>
      <c r="D655" s="21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</row>
    <row r="656" spans="1:24" ht="15.75" customHeight="1" x14ac:dyDescent="0.2">
      <c r="A656" s="20"/>
      <c r="B656" s="20"/>
      <c r="C656" s="21"/>
      <c r="D656" s="21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</row>
    <row r="657" spans="1:24" ht="15.75" customHeight="1" x14ac:dyDescent="0.2">
      <c r="A657" s="20"/>
      <c r="B657" s="20"/>
      <c r="C657" s="21"/>
      <c r="D657" s="21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</row>
    <row r="658" spans="1:24" ht="15.75" customHeight="1" x14ac:dyDescent="0.2">
      <c r="A658" s="20"/>
      <c r="B658" s="20"/>
      <c r="C658" s="21"/>
      <c r="D658" s="21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</row>
    <row r="659" spans="1:24" ht="15.75" customHeight="1" x14ac:dyDescent="0.2">
      <c r="A659" s="20"/>
      <c r="B659" s="20"/>
      <c r="C659" s="21"/>
      <c r="D659" s="21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</row>
    <row r="660" spans="1:24" ht="15.75" customHeight="1" x14ac:dyDescent="0.2">
      <c r="A660" s="20"/>
      <c r="B660" s="20"/>
      <c r="C660" s="21"/>
      <c r="D660" s="21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</row>
    <row r="661" spans="1:24" ht="15.75" customHeight="1" x14ac:dyDescent="0.2">
      <c r="A661" s="20"/>
      <c r="B661" s="20"/>
      <c r="C661" s="21"/>
      <c r="D661" s="21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</row>
    <row r="662" spans="1:24" ht="15.75" customHeight="1" x14ac:dyDescent="0.2">
      <c r="A662" s="20"/>
      <c r="B662" s="20"/>
      <c r="C662" s="21"/>
      <c r="D662" s="21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</row>
    <row r="663" spans="1:24" ht="15.75" customHeight="1" x14ac:dyDescent="0.2">
      <c r="A663" s="20"/>
      <c r="B663" s="20"/>
      <c r="C663" s="21"/>
      <c r="D663" s="21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</row>
    <row r="664" spans="1:24" ht="15.75" customHeight="1" x14ac:dyDescent="0.2">
      <c r="A664" s="20"/>
      <c r="B664" s="20"/>
      <c r="C664" s="21"/>
      <c r="D664" s="21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</row>
    <row r="665" spans="1:24" ht="15.75" customHeight="1" x14ac:dyDescent="0.2">
      <c r="A665" s="20"/>
      <c r="B665" s="20"/>
      <c r="C665" s="21"/>
      <c r="D665" s="21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</row>
    <row r="666" spans="1:24" ht="15.75" customHeight="1" x14ac:dyDescent="0.2">
      <c r="A666" s="20"/>
      <c r="B666" s="20"/>
      <c r="C666" s="21"/>
      <c r="D666" s="21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</row>
    <row r="667" spans="1:24" ht="15.75" customHeight="1" x14ac:dyDescent="0.2">
      <c r="A667" s="20"/>
      <c r="B667" s="20"/>
      <c r="C667" s="21"/>
      <c r="D667" s="21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</row>
    <row r="668" spans="1:24" ht="15.75" customHeight="1" x14ac:dyDescent="0.2">
      <c r="A668" s="20"/>
      <c r="B668" s="20"/>
      <c r="C668" s="21"/>
      <c r="D668" s="21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</row>
    <row r="669" spans="1:24" ht="15.75" customHeight="1" x14ac:dyDescent="0.2">
      <c r="A669" s="20"/>
      <c r="B669" s="20"/>
      <c r="C669" s="21"/>
      <c r="D669" s="21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</row>
    <row r="670" spans="1:24" ht="15.75" customHeight="1" x14ac:dyDescent="0.2">
      <c r="A670" s="20"/>
      <c r="B670" s="20"/>
      <c r="C670" s="21"/>
      <c r="D670" s="21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</row>
    <row r="671" spans="1:24" ht="15.75" customHeight="1" x14ac:dyDescent="0.2">
      <c r="A671" s="20"/>
      <c r="B671" s="20"/>
      <c r="C671" s="21"/>
      <c r="D671" s="21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</row>
    <row r="672" spans="1:24" ht="15.75" customHeight="1" x14ac:dyDescent="0.2">
      <c r="A672" s="20"/>
      <c r="B672" s="20"/>
      <c r="C672" s="21"/>
      <c r="D672" s="21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</row>
    <row r="673" spans="1:24" ht="15.75" customHeight="1" x14ac:dyDescent="0.2">
      <c r="A673" s="20"/>
      <c r="B673" s="20"/>
      <c r="C673" s="21"/>
      <c r="D673" s="21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</row>
    <row r="674" spans="1:24" ht="15.75" customHeight="1" x14ac:dyDescent="0.2">
      <c r="A674" s="20"/>
      <c r="B674" s="20"/>
      <c r="C674" s="21"/>
      <c r="D674" s="21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</row>
    <row r="675" spans="1:24" ht="15.75" customHeight="1" x14ac:dyDescent="0.2">
      <c r="A675" s="20"/>
      <c r="B675" s="20"/>
      <c r="C675" s="21"/>
      <c r="D675" s="21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</row>
    <row r="676" spans="1:24" ht="15.75" customHeight="1" x14ac:dyDescent="0.2">
      <c r="A676" s="20"/>
      <c r="B676" s="20"/>
      <c r="C676" s="21"/>
      <c r="D676" s="21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</row>
    <row r="677" spans="1:24" ht="15.75" customHeight="1" x14ac:dyDescent="0.2">
      <c r="A677" s="20"/>
      <c r="B677" s="20"/>
      <c r="C677" s="21"/>
      <c r="D677" s="21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 spans="1:24" ht="15.75" customHeight="1" x14ac:dyDescent="0.2">
      <c r="A678" s="20"/>
      <c r="B678" s="20"/>
      <c r="C678" s="21"/>
      <c r="D678" s="21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</row>
    <row r="679" spans="1:24" ht="15.75" customHeight="1" x14ac:dyDescent="0.2">
      <c r="A679" s="20"/>
      <c r="B679" s="20"/>
      <c r="C679" s="21"/>
      <c r="D679" s="21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</row>
    <row r="680" spans="1:24" ht="15.75" customHeight="1" x14ac:dyDescent="0.2">
      <c r="A680" s="20"/>
      <c r="B680" s="20"/>
      <c r="C680" s="21"/>
      <c r="D680" s="21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</row>
    <row r="681" spans="1:24" ht="15.75" customHeight="1" x14ac:dyDescent="0.2">
      <c r="A681" s="20"/>
      <c r="B681" s="20"/>
      <c r="C681" s="21"/>
      <c r="D681" s="21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</row>
    <row r="682" spans="1:24" ht="15.75" customHeight="1" x14ac:dyDescent="0.2">
      <c r="A682" s="20"/>
      <c r="B682" s="20"/>
      <c r="C682" s="21"/>
      <c r="D682" s="21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</row>
    <row r="683" spans="1:24" ht="15.75" customHeight="1" x14ac:dyDescent="0.2">
      <c r="A683" s="20"/>
      <c r="B683" s="20"/>
      <c r="C683" s="21"/>
      <c r="D683" s="21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</row>
    <row r="684" spans="1:24" ht="15.75" customHeight="1" x14ac:dyDescent="0.2">
      <c r="A684" s="20"/>
      <c r="B684" s="20"/>
      <c r="C684" s="21"/>
      <c r="D684" s="21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</row>
    <row r="685" spans="1:24" ht="15.75" customHeight="1" x14ac:dyDescent="0.2">
      <c r="A685" s="20"/>
      <c r="B685" s="20"/>
      <c r="C685" s="21"/>
      <c r="D685" s="21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</row>
    <row r="686" spans="1:24" ht="15.75" customHeight="1" x14ac:dyDescent="0.2">
      <c r="A686" s="20"/>
      <c r="B686" s="20"/>
      <c r="C686" s="21"/>
      <c r="D686" s="21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</row>
    <row r="687" spans="1:24" ht="15.75" customHeight="1" x14ac:dyDescent="0.2">
      <c r="A687" s="20"/>
      <c r="B687" s="20"/>
      <c r="C687" s="21"/>
      <c r="D687" s="21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</row>
    <row r="688" spans="1:24" ht="15.75" customHeight="1" x14ac:dyDescent="0.2">
      <c r="A688" s="20"/>
      <c r="B688" s="20"/>
      <c r="C688" s="21"/>
      <c r="D688" s="21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</row>
    <row r="689" spans="1:24" ht="15.75" customHeight="1" x14ac:dyDescent="0.2">
      <c r="A689" s="20"/>
      <c r="B689" s="20"/>
      <c r="C689" s="21"/>
      <c r="D689" s="21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</row>
    <row r="690" spans="1:24" ht="15.75" customHeight="1" x14ac:dyDescent="0.2">
      <c r="A690" s="20"/>
      <c r="B690" s="20"/>
      <c r="C690" s="21"/>
      <c r="D690" s="21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</row>
    <row r="691" spans="1:24" ht="15.75" customHeight="1" x14ac:dyDescent="0.2">
      <c r="A691" s="20"/>
      <c r="B691" s="20"/>
      <c r="C691" s="21"/>
      <c r="D691" s="21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</row>
    <row r="692" spans="1:24" ht="15.75" customHeight="1" x14ac:dyDescent="0.2">
      <c r="A692" s="20"/>
      <c r="B692" s="20"/>
      <c r="C692" s="21"/>
      <c r="D692" s="21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</row>
    <row r="693" spans="1:24" ht="15.75" customHeight="1" x14ac:dyDescent="0.2">
      <c r="A693" s="20"/>
      <c r="B693" s="20"/>
      <c r="C693" s="21"/>
      <c r="D693" s="21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</row>
    <row r="694" spans="1:24" ht="15.75" customHeight="1" x14ac:dyDescent="0.2">
      <c r="A694" s="20"/>
      <c r="B694" s="20"/>
      <c r="C694" s="21"/>
      <c r="D694" s="21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</row>
    <row r="695" spans="1:24" ht="15.75" customHeight="1" x14ac:dyDescent="0.2">
      <c r="A695" s="20"/>
      <c r="B695" s="20"/>
      <c r="C695" s="21"/>
      <c r="D695" s="21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</row>
    <row r="696" spans="1:24" ht="15.75" customHeight="1" x14ac:dyDescent="0.2">
      <c r="A696" s="20"/>
      <c r="B696" s="20"/>
      <c r="C696" s="21"/>
      <c r="D696" s="21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</row>
    <row r="697" spans="1:24" ht="15.75" customHeight="1" x14ac:dyDescent="0.2">
      <c r="A697" s="20"/>
      <c r="B697" s="20"/>
      <c r="C697" s="21"/>
      <c r="D697" s="21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</row>
    <row r="698" spans="1:24" ht="15.75" customHeight="1" x14ac:dyDescent="0.2">
      <c r="A698" s="20"/>
      <c r="B698" s="20"/>
      <c r="C698" s="21"/>
      <c r="D698" s="21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</row>
    <row r="699" spans="1:24" ht="15.75" customHeight="1" x14ac:dyDescent="0.2">
      <c r="A699" s="20"/>
      <c r="B699" s="20"/>
      <c r="C699" s="21"/>
      <c r="D699" s="21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</row>
    <row r="700" spans="1:24" ht="15.75" customHeight="1" x14ac:dyDescent="0.2">
      <c r="A700" s="20"/>
      <c r="B700" s="20"/>
      <c r="C700" s="21"/>
      <c r="D700" s="21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</row>
    <row r="701" spans="1:24" ht="15.75" customHeight="1" x14ac:dyDescent="0.2">
      <c r="A701" s="20"/>
      <c r="B701" s="20"/>
      <c r="C701" s="21"/>
      <c r="D701" s="21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</row>
    <row r="702" spans="1:24" ht="15.75" customHeight="1" x14ac:dyDescent="0.2">
      <c r="A702" s="20"/>
      <c r="B702" s="20"/>
      <c r="C702" s="21"/>
      <c r="D702" s="21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</row>
    <row r="703" spans="1:24" ht="15.75" customHeight="1" x14ac:dyDescent="0.2">
      <c r="A703" s="20"/>
      <c r="B703" s="20"/>
      <c r="C703" s="21"/>
      <c r="D703" s="21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</row>
    <row r="704" spans="1:24" ht="15.75" customHeight="1" x14ac:dyDescent="0.2">
      <c r="A704" s="20"/>
      <c r="B704" s="20"/>
      <c r="C704" s="21"/>
      <c r="D704" s="21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</row>
    <row r="705" spans="1:24" ht="15.75" customHeight="1" x14ac:dyDescent="0.2">
      <c r="A705" s="20"/>
      <c r="B705" s="20"/>
      <c r="C705" s="21"/>
      <c r="D705" s="21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</row>
    <row r="706" spans="1:24" ht="15.75" customHeight="1" x14ac:dyDescent="0.2">
      <c r="A706" s="20"/>
      <c r="B706" s="20"/>
      <c r="C706" s="21"/>
      <c r="D706" s="21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</row>
    <row r="707" spans="1:24" ht="15.75" customHeight="1" x14ac:dyDescent="0.2">
      <c r="A707" s="20"/>
      <c r="B707" s="20"/>
      <c r="C707" s="21"/>
      <c r="D707" s="21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</row>
    <row r="708" spans="1:24" ht="15.75" customHeight="1" x14ac:dyDescent="0.2">
      <c r="A708" s="20"/>
      <c r="B708" s="20"/>
      <c r="C708" s="21"/>
      <c r="D708" s="21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</row>
    <row r="709" spans="1:24" ht="15.75" customHeight="1" x14ac:dyDescent="0.2">
      <c r="A709" s="20"/>
      <c r="B709" s="20"/>
      <c r="C709" s="21"/>
      <c r="D709" s="21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</row>
    <row r="710" spans="1:24" ht="15.75" customHeight="1" x14ac:dyDescent="0.2">
      <c r="A710" s="20"/>
      <c r="B710" s="20"/>
      <c r="C710" s="21"/>
      <c r="D710" s="21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</row>
    <row r="711" spans="1:24" ht="15.75" customHeight="1" x14ac:dyDescent="0.2">
      <c r="A711" s="20"/>
      <c r="B711" s="20"/>
      <c r="C711" s="21"/>
      <c r="D711" s="21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</row>
    <row r="712" spans="1:24" ht="15.75" customHeight="1" x14ac:dyDescent="0.2">
      <c r="A712" s="20"/>
      <c r="B712" s="20"/>
      <c r="C712" s="21"/>
      <c r="D712" s="21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</row>
    <row r="713" spans="1:24" ht="15.75" customHeight="1" x14ac:dyDescent="0.2">
      <c r="A713" s="20"/>
      <c r="B713" s="20"/>
      <c r="C713" s="21"/>
      <c r="D713" s="21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</row>
    <row r="714" spans="1:24" ht="15.75" customHeight="1" x14ac:dyDescent="0.2">
      <c r="A714" s="20"/>
      <c r="B714" s="20"/>
      <c r="C714" s="21"/>
      <c r="D714" s="21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</row>
    <row r="715" spans="1:24" ht="15.75" customHeight="1" x14ac:dyDescent="0.2">
      <c r="A715" s="20"/>
      <c r="B715" s="20"/>
      <c r="C715" s="21"/>
      <c r="D715" s="21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</row>
    <row r="716" spans="1:24" ht="15.75" customHeight="1" x14ac:dyDescent="0.2">
      <c r="A716" s="20"/>
      <c r="B716" s="20"/>
      <c r="C716" s="21"/>
      <c r="D716" s="21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</row>
    <row r="717" spans="1:24" ht="15.75" customHeight="1" x14ac:dyDescent="0.2">
      <c r="A717" s="20"/>
      <c r="B717" s="20"/>
      <c r="C717" s="21"/>
      <c r="D717" s="21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</row>
    <row r="718" spans="1:24" ht="15.75" customHeight="1" x14ac:dyDescent="0.2">
      <c r="A718" s="20"/>
      <c r="B718" s="20"/>
      <c r="C718" s="21"/>
      <c r="D718" s="21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</row>
    <row r="719" spans="1:24" ht="15.75" customHeight="1" x14ac:dyDescent="0.2">
      <c r="A719" s="20"/>
      <c r="B719" s="20"/>
      <c r="C719" s="21"/>
      <c r="D719" s="21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</row>
    <row r="720" spans="1:24" ht="15.75" customHeight="1" x14ac:dyDescent="0.2">
      <c r="A720" s="20"/>
      <c r="B720" s="20"/>
      <c r="C720" s="21"/>
      <c r="D720" s="21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</row>
    <row r="721" spans="1:24" ht="15.75" customHeight="1" x14ac:dyDescent="0.2">
      <c r="A721" s="20"/>
      <c r="B721" s="20"/>
      <c r="C721" s="21"/>
      <c r="D721" s="21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</row>
    <row r="722" spans="1:24" ht="15.75" customHeight="1" x14ac:dyDescent="0.2">
      <c r="A722" s="20"/>
      <c r="B722" s="20"/>
      <c r="C722" s="21"/>
      <c r="D722" s="21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 spans="1:24" ht="15.75" customHeight="1" x14ac:dyDescent="0.2">
      <c r="A723" s="20"/>
      <c r="B723" s="20"/>
      <c r="C723" s="21"/>
      <c r="D723" s="21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</row>
    <row r="724" spans="1:24" ht="15.75" customHeight="1" x14ac:dyDescent="0.2">
      <c r="A724" s="20"/>
      <c r="B724" s="20"/>
      <c r="C724" s="21"/>
      <c r="D724" s="21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</row>
    <row r="725" spans="1:24" ht="15.75" customHeight="1" x14ac:dyDescent="0.2">
      <c r="A725" s="20"/>
      <c r="B725" s="20"/>
      <c r="C725" s="21"/>
      <c r="D725" s="21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</row>
    <row r="726" spans="1:24" ht="15.75" customHeight="1" x14ac:dyDescent="0.2">
      <c r="A726" s="20"/>
      <c r="B726" s="20"/>
      <c r="C726" s="21"/>
      <c r="D726" s="21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</row>
    <row r="727" spans="1:24" ht="15.75" customHeight="1" x14ac:dyDescent="0.2">
      <c r="A727" s="20"/>
      <c r="B727" s="20"/>
      <c r="C727" s="21"/>
      <c r="D727" s="21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</row>
    <row r="728" spans="1:24" ht="15.75" customHeight="1" x14ac:dyDescent="0.2">
      <c r="A728" s="20"/>
      <c r="B728" s="20"/>
      <c r="C728" s="21"/>
      <c r="D728" s="21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</row>
    <row r="729" spans="1:24" ht="15.75" customHeight="1" x14ac:dyDescent="0.2">
      <c r="A729" s="20"/>
      <c r="B729" s="20"/>
      <c r="C729" s="21"/>
      <c r="D729" s="21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</row>
    <row r="730" spans="1:24" ht="15.75" customHeight="1" x14ac:dyDescent="0.2">
      <c r="A730" s="20"/>
      <c r="B730" s="20"/>
      <c r="C730" s="21"/>
      <c r="D730" s="21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</row>
    <row r="731" spans="1:24" ht="15.75" customHeight="1" x14ac:dyDescent="0.2">
      <c r="A731" s="20"/>
      <c r="B731" s="20"/>
      <c r="C731" s="21"/>
      <c r="D731" s="21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</row>
    <row r="732" spans="1:24" ht="15.75" customHeight="1" x14ac:dyDescent="0.2">
      <c r="A732" s="20"/>
      <c r="B732" s="20"/>
      <c r="C732" s="21"/>
      <c r="D732" s="21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</row>
    <row r="733" spans="1:24" ht="15.75" customHeight="1" x14ac:dyDescent="0.2">
      <c r="A733" s="20"/>
      <c r="B733" s="20"/>
      <c r="C733" s="21"/>
      <c r="D733" s="21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</row>
    <row r="734" spans="1:24" ht="15.75" customHeight="1" x14ac:dyDescent="0.2">
      <c r="A734" s="20"/>
      <c r="B734" s="20"/>
      <c r="C734" s="21"/>
      <c r="D734" s="21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</row>
    <row r="735" spans="1:24" ht="15.75" customHeight="1" x14ac:dyDescent="0.2">
      <c r="A735" s="20"/>
      <c r="B735" s="20"/>
      <c r="C735" s="21"/>
      <c r="D735" s="21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</row>
    <row r="736" spans="1:24" ht="15.75" customHeight="1" x14ac:dyDescent="0.2">
      <c r="A736" s="20"/>
      <c r="B736" s="20"/>
      <c r="C736" s="21"/>
      <c r="D736" s="21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</row>
    <row r="737" spans="1:24" ht="15.75" customHeight="1" x14ac:dyDescent="0.2">
      <c r="A737" s="20"/>
      <c r="B737" s="20"/>
      <c r="C737" s="21"/>
      <c r="D737" s="21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</row>
    <row r="738" spans="1:24" ht="15.75" customHeight="1" x14ac:dyDescent="0.2">
      <c r="A738" s="20"/>
      <c r="B738" s="20"/>
      <c r="C738" s="21"/>
      <c r="D738" s="21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 spans="1:24" ht="15.75" customHeight="1" x14ac:dyDescent="0.2">
      <c r="A739" s="20"/>
      <c r="B739" s="20"/>
      <c r="C739" s="21"/>
      <c r="D739" s="21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</row>
    <row r="740" spans="1:24" ht="15.75" customHeight="1" x14ac:dyDescent="0.2">
      <c r="A740" s="20"/>
      <c r="B740" s="20"/>
      <c r="C740" s="21"/>
      <c r="D740" s="21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</row>
    <row r="741" spans="1:24" ht="15.75" customHeight="1" x14ac:dyDescent="0.2">
      <c r="A741" s="20"/>
      <c r="B741" s="20"/>
      <c r="C741" s="21"/>
      <c r="D741" s="21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</row>
    <row r="742" spans="1:24" ht="15.75" customHeight="1" x14ac:dyDescent="0.2">
      <c r="A742" s="20"/>
      <c r="B742" s="20"/>
      <c r="C742" s="21"/>
      <c r="D742" s="21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</row>
    <row r="743" spans="1:24" ht="15.75" customHeight="1" x14ac:dyDescent="0.2">
      <c r="A743" s="20"/>
      <c r="B743" s="20"/>
      <c r="C743" s="21"/>
      <c r="D743" s="21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</row>
    <row r="744" spans="1:24" ht="15.75" customHeight="1" x14ac:dyDescent="0.2">
      <c r="A744" s="20"/>
      <c r="B744" s="20"/>
      <c r="C744" s="21"/>
      <c r="D744" s="21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</row>
    <row r="745" spans="1:24" ht="15.75" customHeight="1" x14ac:dyDescent="0.2">
      <c r="A745" s="20"/>
      <c r="B745" s="20"/>
      <c r="C745" s="21"/>
      <c r="D745" s="21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</row>
    <row r="746" spans="1:24" ht="15.75" customHeight="1" x14ac:dyDescent="0.2">
      <c r="A746" s="20"/>
      <c r="B746" s="20"/>
      <c r="C746" s="21"/>
      <c r="D746" s="21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</row>
    <row r="747" spans="1:24" ht="15.75" customHeight="1" x14ac:dyDescent="0.2">
      <c r="A747" s="20"/>
      <c r="B747" s="20"/>
      <c r="C747" s="21"/>
      <c r="D747" s="21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</row>
    <row r="748" spans="1:24" ht="15.75" customHeight="1" x14ac:dyDescent="0.2">
      <c r="A748" s="20"/>
      <c r="B748" s="20"/>
      <c r="C748" s="21"/>
      <c r="D748" s="21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</row>
    <row r="749" spans="1:24" ht="15.75" customHeight="1" x14ac:dyDescent="0.2">
      <c r="A749" s="20"/>
      <c r="B749" s="20"/>
      <c r="C749" s="21"/>
      <c r="D749" s="21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</row>
    <row r="750" spans="1:24" ht="15.75" customHeight="1" x14ac:dyDescent="0.2">
      <c r="A750" s="20"/>
      <c r="B750" s="20"/>
      <c r="C750" s="21"/>
      <c r="D750" s="21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 spans="1:24" ht="15.75" customHeight="1" x14ac:dyDescent="0.2">
      <c r="A751" s="20"/>
      <c r="B751" s="20"/>
      <c r="C751" s="21"/>
      <c r="D751" s="21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</row>
    <row r="752" spans="1:24" ht="15.75" customHeight="1" x14ac:dyDescent="0.2">
      <c r="A752" s="20"/>
      <c r="B752" s="20"/>
      <c r="C752" s="21"/>
      <c r="D752" s="21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</row>
    <row r="753" spans="1:24" ht="15.75" customHeight="1" x14ac:dyDescent="0.2">
      <c r="A753" s="20"/>
      <c r="B753" s="20"/>
      <c r="C753" s="21"/>
      <c r="D753" s="21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</row>
    <row r="754" spans="1:24" ht="15.75" customHeight="1" x14ac:dyDescent="0.2">
      <c r="A754" s="20"/>
      <c r="B754" s="20"/>
      <c r="C754" s="21"/>
      <c r="D754" s="21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</row>
    <row r="755" spans="1:24" ht="15.75" customHeight="1" x14ac:dyDescent="0.2">
      <c r="A755" s="20"/>
      <c r="B755" s="20"/>
      <c r="C755" s="21"/>
      <c r="D755" s="21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</row>
    <row r="756" spans="1:24" ht="15.75" customHeight="1" x14ac:dyDescent="0.2">
      <c r="A756" s="20"/>
      <c r="B756" s="20"/>
      <c r="C756" s="21"/>
      <c r="D756" s="21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</row>
    <row r="757" spans="1:24" ht="15.75" customHeight="1" x14ac:dyDescent="0.2">
      <c r="A757" s="20"/>
      <c r="B757" s="20"/>
      <c r="C757" s="21"/>
      <c r="D757" s="21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</row>
    <row r="758" spans="1:24" ht="15.75" customHeight="1" x14ac:dyDescent="0.2">
      <c r="A758" s="20"/>
      <c r="B758" s="20"/>
      <c r="C758" s="21"/>
      <c r="D758" s="21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</row>
    <row r="759" spans="1:24" ht="15.75" customHeight="1" x14ac:dyDescent="0.2">
      <c r="A759" s="20"/>
      <c r="B759" s="20"/>
      <c r="C759" s="21"/>
      <c r="D759" s="21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</row>
    <row r="760" spans="1:24" ht="15.75" customHeight="1" x14ac:dyDescent="0.2">
      <c r="A760" s="20"/>
      <c r="B760" s="20"/>
      <c r="C760" s="21"/>
      <c r="D760" s="21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</row>
    <row r="761" spans="1:24" ht="15.75" customHeight="1" x14ac:dyDescent="0.2">
      <c r="A761" s="20"/>
      <c r="B761" s="20"/>
      <c r="C761" s="21"/>
      <c r="D761" s="21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</row>
    <row r="762" spans="1:24" ht="15.75" customHeight="1" x14ac:dyDescent="0.2">
      <c r="A762" s="20"/>
      <c r="B762" s="20"/>
      <c r="C762" s="21"/>
      <c r="D762" s="21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</row>
    <row r="763" spans="1:24" ht="15.75" customHeight="1" x14ac:dyDescent="0.2">
      <c r="A763" s="20"/>
      <c r="B763" s="20"/>
      <c r="C763" s="21"/>
      <c r="D763" s="21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</row>
    <row r="764" spans="1:24" ht="15.75" customHeight="1" x14ac:dyDescent="0.2">
      <c r="A764" s="20"/>
      <c r="B764" s="20"/>
      <c r="C764" s="21"/>
      <c r="D764" s="21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</row>
    <row r="765" spans="1:24" ht="15.75" customHeight="1" x14ac:dyDescent="0.2">
      <c r="A765" s="20"/>
      <c r="B765" s="20"/>
      <c r="C765" s="21"/>
      <c r="D765" s="21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</row>
    <row r="766" spans="1:24" ht="15.75" customHeight="1" x14ac:dyDescent="0.2">
      <c r="A766" s="20"/>
      <c r="B766" s="20"/>
      <c r="C766" s="21"/>
      <c r="D766" s="21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</row>
    <row r="767" spans="1:24" ht="15.75" customHeight="1" x14ac:dyDescent="0.2">
      <c r="A767" s="20"/>
      <c r="B767" s="20"/>
      <c r="C767" s="21"/>
      <c r="D767" s="21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</row>
    <row r="768" spans="1:24" ht="15.75" customHeight="1" x14ac:dyDescent="0.2">
      <c r="A768" s="20"/>
      <c r="B768" s="20"/>
      <c r="C768" s="21"/>
      <c r="D768" s="21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</row>
    <row r="769" spans="1:24" ht="15.75" customHeight="1" x14ac:dyDescent="0.2">
      <c r="A769" s="20"/>
      <c r="B769" s="20"/>
      <c r="C769" s="21"/>
      <c r="D769" s="21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</row>
    <row r="770" spans="1:24" ht="15.75" customHeight="1" x14ac:dyDescent="0.2">
      <c r="A770" s="20"/>
      <c r="B770" s="20"/>
      <c r="C770" s="21"/>
      <c r="D770" s="21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</row>
    <row r="771" spans="1:24" ht="15.75" customHeight="1" x14ac:dyDescent="0.2">
      <c r="A771" s="20"/>
      <c r="B771" s="20"/>
      <c r="C771" s="21"/>
      <c r="D771" s="21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</row>
    <row r="772" spans="1:24" ht="15.75" customHeight="1" x14ac:dyDescent="0.2">
      <c r="A772" s="20"/>
      <c r="B772" s="20"/>
      <c r="C772" s="21"/>
      <c r="D772" s="21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</row>
    <row r="773" spans="1:24" ht="15.75" customHeight="1" x14ac:dyDescent="0.2">
      <c r="A773" s="20"/>
      <c r="B773" s="20"/>
      <c r="C773" s="21"/>
      <c r="D773" s="21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</row>
    <row r="774" spans="1:24" ht="15.75" customHeight="1" x14ac:dyDescent="0.2">
      <c r="A774" s="20"/>
      <c r="B774" s="20"/>
      <c r="C774" s="21"/>
      <c r="D774" s="21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</row>
    <row r="775" spans="1:24" ht="15.75" customHeight="1" x14ac:dyDescent="0.2">
      <c r="A775" s="20"/>
      <c r="B775" s="20"/>
      <c r="C775" s="21"/>
      <c r="D775" s="21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</row>
    <row r="776" spans="1:24" ht="15.75" customHeight="1" x14ac:dyDescent="0.2">
      <c r="A776" s="20"/>
      <c r="B776" s="20"/>
      <c r="C776" s="21"/>
      <c r="D776" s="21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</row>
    <row r="777" spans="1:24" ht="15.75" customHeight="1" x14ac:dyDescent="0.2">
      <c r="A777" s="20"/>
      <c r="B777" s="20"/>
      <c r="C777" s="21"/>
      <c r="D777" s="21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</row>
    <row r="778" spans="1:24" ht="15.75" customHeight="1" x14ac:dyDescent="0.2">
      <c r="A778" s="20"/>
      <c r="B778" s="20"/>
      <c r="C778" s="21"/>
      <c r="D778" s="21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</row>
    <row r="779" spans="1:24" ht="15.75" customHeight="1" x14ac:dyDescent="0.2">
      <c r="A779" s="20"/>
      <c r="B779" s="20"/>
      <c r="C779" s="21"/>
      <c r="D779" s="21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</row>
    <row r="780" spans="1:24" ht="15.75" customHeight="1" x14ac:dyDescent="0.2">
      <c r="A780" s="20"/>
      <c r="B780" s="20"/>
      <c r="C780" s="21"/>
      <c r="D780" s="21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</row>
    <row r="781" spans="1:24" ht="15.75" customHeight="1" x14ac:dyDescent="0.2">
      <c r="A781" s="20"/>
      <c r="B781" s="20"/>
      <c r="C781" s="21"/>
      <c r="D781" s="21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</row>
    <row r="782" spans="1:24" ht="15.75" customHeight="1" x14ac:dyDescent="0.2">
      <c r="A782" s="20"/>
      <c r="B782" s="20"/>
      <c r="C782" s="21"/>
      <c r="D782" s="21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</row>
    <row r="783" spans="1:24" ht="15.75" customHeight="1" x14ac:dyDescent="0.2">
      <c r="A783" s="20"/>
      <c r="B783" s="20"/>
      <c r="C783" s="21"/>
      <c r="D783" s="21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</row>
    <row r="784" spans="1:24" ht="15.75" customHeight="1" x14ac:dyDescent="0.2">
      <c r="A784" s="20"/>
      <c r="B784" s="20"/>
      <c r="C784" s="21"/>
      <c r="D784" s="21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</row>
    <row r="785" spans="1:24" ht="15.75" customHeight="1" x14ac:dyDescent="0.2">
      <c r="A785" s="20"/>
      <c r="B785" s="20"/>
      <c r="C785" s="21"/>
      <c r="D785" s="21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</row>
    <row r="786" spans="1:24" ht="15.75" customHeight="1" x14ac:dyDescent="0.2">
      <c r="A786" s="20"/>
      <c r="B786" s="20"/>
      <c r="C786" s="21"/>
      <c r="D786" s="21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 spans="1:24" ht="15.75" customHeight="1" x14ac:dyDescent="0.2">
      <c r="A787" s="20"/>
      <c r="B787" s="20"/>
      <c r="C787" s="21"/>
      <c r="D787" s="21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</row>
    <row r="788" spans="1:24" ht="15.75" customHeight="1" x14ac:dyDescent="0.2">
      <c r="A788" s="20"/>
      <c r="B788" s="20"/>
      <c r="C788" s="21"/>
      <c r="D788" s="21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</row>
    <row r="789" spans="1:24" ht="15.75" customHeight="1" x14ac:dyDescent="0.2">
      <c r="A789" s="20"/>
      <c r="B789" s="20"/>
      <c r="C789" s="21"/>
      <c r="D789" s="21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</row>
    <row r="790" spans="1:24" ht="15.75" customHeight="1" x14ac:dyDescent="0.2">
      <c r="A790" s="20"/>
      <c r="B790" s="20"/>
      <c r="C790" s="21"/>
      <c r="D790" s="21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</row>
    <row r="791" spans="1:24" ht="15.75" customHeight="1" x14ac:dyDescent="0.2">
      <c r="A791" s="20"/>
      <c r="B791" s="20"/>
      <c r="C791" s="21"/>
      <c r="D791" s="21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</row>
    <row r="792" spans="1:24" ht="15.75" customHeight="1" x14ac:dyDescent="0.2">
      <c r="A792" s="20"/>
      <c r="B792" s="20"/>
      <c r="C792" s="21"/>
      <c r="D792" s="21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</row>
    <row r="793" spans="1:24" ht="15.75" customHeight="1" x14ac:dyDescent="0.2">
      <c r="A793" s="20"/>
      <c r="B793" s="20"/>
      <c r="C793" s="21"/>
      <c r="D793" s="21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</row>
    <row r="794" spans="1:24" ht="15.75" customHeight="1" x14ac:dyDescent="0.2">
      <c r="A794" s="20"/>
      <c r="B794" s="20"/>
      <c r="C794" s="21"/>
      <c r="D794" s="21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</row>
    <row r="795" spans="1:24" ht="15.75" customHeight="1" x14ac:dyDescent="0.2">
      <c r="A795" s="20"/>
      <c r="B795" s="20"/>
      <c r="C795" s="21"/>
      <c r="D795" s="21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</row>
    <row r="796" spans="1:24" ht="15.75" customHeight="1" x14ac:dyDescent="0.2">
      <c r="A796" s="20"/>
      <c r="B796" s="20"/>
      <c r="C796" s="21"/>
      <c r="D796" s="21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</row>
    <row r="797" spans="1:24" ht="15.75" customHeight="1" x14ac:dyDescent="0.2">
      <c r="A797" s="20"/>
      <c r="B797" s="20"/>
      <c r="C797" s="21"/>
      <c r="D797" s="21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</row>
    <row r="798" spans="1:24" ht="15.75" customHeight="1" x14ac:dyDescent="0.2">
      <c r="A798" s="20"/>
      <c r="B798" s="20"/>
      <c r="C798" s="21"/>
      <c r="D798" s="21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</row>
    <row r="799" spans="1:24" ht="15.75" customHeight="1" x14ac:dyDescent="0.2">
      <c r="A799" s="20"/>
      <c r="B799" s="20"/>
      <c r="C799" s="21"/>
      <c r="D799" s="21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</row>
    <row r="800" spans="1:24" ht="15.75" customHeight="1" x14ac:dyDescent="0.2">
      <c r="A800" s="20"/>
      <c r="B800" s="20"/>
      <c r="C800" s="21"/>
      <c r="D800" s="21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</row>
    <row r="801" spans="1:24" ht="15.75" customHeight="1" x14ac:dyDescent="0.2">
      <c r="A801" s="20"/>
      <c r="B801" s="20"/>
      <c r="C801" s="21"/>
      <c r="D801" s="21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</row>
    <row r="802" spans="1:24" ht="15.75" customHeight="1" x14ac:dyDescent="0.2">
      <c r="A802" s="20"/>
      <c r="B802" s="20"/>
      <c r="C802" s="21"/>
      <c r="D802" s="21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</row>
    <row r="803" spans="1:24" ht="15.75" customHeight="1" x14ac:dyDescent="0.2">
      <c r="A803" s="20"/>
      <c r="B803" s="20"/>
      <c r="C803" s="21"/>
      <c r="D803" s="21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</row>
    <row r="804" spans="1:24" ht="15.75" customHeight="1" x14ac:dyDescent="0.2">
      <c r="A804" s="20"/>
      <c r="B804" s="20"/>
      <c r="C804" s="21"/>
      <c r="D804" s="21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</row>
    <row r="805" spans="1:24" ht="15.75" customHeight="1" x14ac:dyDescent="0.2">
      <c r="A805" s="20"/>
      <c r="B805" s="20"/>
      <c r="C805" s="21"/>
      <c r="D805" s="21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</row>
    <row r="806" spans="1:24" ht="15.75" customHeight="1" x14ac:dyDescent="0.2">
      <c r="A806" s="20"/>
      <c r="B806" s="20"/>
      <c r="C806" s="21"/>
      <c r="D806" s="21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</row>
    <row r="807" spans="1:24" ht="15.75" customHeight="1" x14ac:dyDescent="0.2">
      <c r="A807" s="20"/>
      <c r="B807" s="20"/>
      <c r="C807" s="21"/>
      <c r="D807" s="21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</row>
    <row r="808" spans="1:24" ht="15.75" customHeight="1" x14ac:dyDescent="0.2">
      <c r="A808" s="20"/>
      <c r="B808" s="20"/>
      <c r="C808" s="21"/>
      <c r="D808" s="21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</row>
    <row r="809" spans="1:24" ht="15.75" customHeight="1" x14ac:dyDescent="0.2">
      <c r="A809" s="20"/>
      <c r="B809" s="20"/>
      <c r="C809" s="21"/>
      <c r="D809" s="21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</row>
    <row r="810" spans="1:24" ht="15.75" customHeight="1" x14ac:dyDescent="0.2">
      <c r="A810" s="20"/>
      <c r="B810" s="20"/>
      <c r="C810" s="21"/>
      <c r="D810" s="21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</row>
    <row r="811" spans="1:24" ht="15.75" customHeight="1" x14ac:dyDescent="0.2">
      <c r="A811" s="20"/>
      <c r="B811" s="20"/>
      <c r="C811" s="21"/>
      <c r="D811" s="21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</row>
    <row r="812" spans="1:24" ht="15.75" customHeight="1" x14ac:dyDescent="0.2">
      <c r="A812" s="20"/>
      <c r="B812" s="20"/>
      <c r="C812" s="21"/>
      <c r="D812" s="21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</row>
    <row r="813" spans="1:24" ht="15.75" customHeight="1" x14ac:dyDescent="0.2">
      <c r="A813" s="20"/>
      <c r="B813" s="20"/>
      <c r="C813" s="21"/>
      <c r="D813" s="21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</row>
    <row r="814" spans="1:24" ht="15.75" customHeight="1" x14ac:dyDescent="0.2">
      <c r="A814" s="20"/>
      <c r="B814" s="20"/>
      <c r="C814" s="21"/>
      <c r="D814" s="21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</row>
    <row r="815" spans="1:24" ht="15.75" customHeight="1" x14ac:dyDescent="0.2">
      <c r="A815" s="20"/>
      <c r="B815" s="20"/>
      <c r="C815" s="21"/>
      <c r="D815" s="21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</row>
    <row r="816" spans="1:24" ht="15.75" customHeight="1" x14ac:dyDescent="0.2">
      <c r="A816" s="20"/>
      <c r="B816" s="20"/>
      <c r="C816" s="21"/>
      <c r="D816" s="21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</row>
    <row r="817" spans="1:24" ht="15.75" customHeight="1" x14ac:dyDescent="0.2">
      <c r="A817" s="20"/>
      <c r="B817" s="20"/>
      <c r="C817" s="21"/>
      <c r="D817" s="21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</row>
    <row r="818" spans="1:24" ht="15.75" customHeight="1" x14ac:dyDescent="0.2">
      <c r="A818" s="20"/>
      <c r="B818" s="20"/>
      <c r="C818" s="21"/>
      <c r="D818" s="21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</row>
    <row r="819" spans="1:24" ht="15.75" customHeight="1" x14ac:dyDescent="0.2">
      <c r="A819" s="20"/>
      <c r="B819" s="20"/>
      <c r="C819" s="21"/>
      <c r="D819" s="21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</row>
    <row r="820" spans="1:24" ht="15.75" customHeight="1" x14ac:dyDescent="0.2">
      <c r="A820" s="20"/>
      <c r="B820" s="20"/>
      <c r="C820" s="21"/>
      <c r="D820" s="21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</row>
    <row r="821" spans="1:24" ht="15.75" customHeight="1" x14ac:dyDescent="0.2">
      <c r="A821" s="20"/>
      <c r="B821" s="20"/>
      <c r="C821" s="21"/>
      <c r="D821" s="21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</row>
    <row r="822" spans="1:24" ht="15.75" customHeight="1" x14ac:dyDescent="0.2">
      <c r="A822" s="20"/>
      <c r="B822" s="20"/>
      <c r="C822" s="21"/>
      <c r="D822" s="21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</row>
    <row r="823" spans="1:24" ht="15.75" customHeight="1" x14ac:dyDescent="0.2">
      <c r="A823" s="20"/>
      <c r="B823" s="20"/>
      <c r="C823" s="21"/>
      <c r="D823" s="21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</row>
    <row r="824" spans="1:24" ht="15.75" customHeight="1" x14ac:dyDescent="0.2">
      <c r="A824" s="20"/>
      <c r="B824" s="20"/>
      <c r="C824" s="21"/>
      <c r="D824" s="21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</row>
    <row r="825" spans="1:24" ht="15.75" customHeight="1" x14ac:dyDescent="0.2">
      <c r="A825" s="20"/>
      <c r="B825" s="20"/>
      <c r="C825" s="21"/>
      <c r="D825" s="21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</row>
    <row r="826" spans="1:24" ht="15.75" customHeight="1" x14ac:dyDescent="0.2">
      <c r="A826" s="20"/>
      <c r="B826" s="20"/>
      <c r="C826" s="21"/>
      <c r="D826" s="21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</row>
    <row r="827" spans="1:24" ht="15.75" customHeight="1" x14ac:dyDescent="0.2">
      <c r="A827" s="20"/>
      <c r="B827" s="20"/>
      <c r="C827" s="21"/>
      <c r="D827" s="21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</row>
    <row r="828" spans="1:24" ht="15.75" customHeight="1" x14ac:dyDescent="0.2">
      <c r="A828" s="20"/>
      <c r="B828" s="20"/>
      <c r="C828" s="21"/>
      <c r="D828" s="21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</row>
    <row r="829" spans="1:24" ht="15.75" customHeight="1" x14ac:dyDescent="0.2">
      <c r="A829" s="20"/>
      <c r="B829" s="20"/>
      <c r="C829" s="21"/>
      <c r="D829" s="21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</row>
    <row r="830" spans="1:24" ht="15.75" customHeight="1" x14ac:dyDescent="0.2">
      <c r="A830" s="20"/>
      <c r="B830" s="20"/>
      <c r="C830" s="21"/>
      <c r="D830" s="21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</row>
    <row r="831" spans="1:24" ht="15.75" customHeight="1" x14ac:dyDescent="0.2">
      <c r="A831" s="20"/>
      <c r="B831" s="20"/>
      <c r="C831" s="21"/>
      <c r="D831" s="21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</row>
    <row r="832" spans="1:24" ht="15.75" customHeight="1" x14ac:dyDescent="0.2">
      <c r="A832" s="20"/>
      <c r="B832" s="20"/>
      <c r="C832" s="21"/>
      <c r="D832" s="21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</row>
    <row r="833" spans="1:24" ht="15.75" customHeight="1" x14ac:dyDescent="0.2">
      <c r="A833" s="20"/>
      <c r="B833" s="20"/>
      <c r="C833" s="21"/>
      <c r="D833" s="21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</row>
    <row r="834" spans="1:24" ht="15.75" customHeight="1" x14ac:dyDescent="0.2">
      <c r="A834" s="20"/>
      <c r="B834" s="20"/>
      <c r="C834" s="21"/>
      <c r="D834" s="21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</row>
    <row r="835" spans="1:24" ht="15.75" customHeight="1" x14ac:dyDescent="0.2">
      <c r="A835" s="20"/>
      <c r="B835" s="20"/>
      <c r="C835" s="21"/>
      <c r="D835" s="21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</row>
    <row r="836" spans="1:24" ht="15.75" customHeight="1" x14ac:dyDescent="0.2">
      <c r="A836" s="20"/>
      <c r="B836" s="20"/>
      <c r="C836" s="21"/>
      <c r="D836" s="21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</row>
    <row r="837" spans="1:24" ht="15.75" customHeight="1" x14ac:dyDescent="0.2">
      <c r="A837" s="20"/>
      <c r="B837" s="20"/>
      <c r="C837" s="21"/>
      <c r="D837" s="21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</row>
    <row r="838" spans="1:24" ht="15.75" customHeight="1" x14ac:dyDescent="0.2">
      <c r="A838" s="20"/>
      <c r="B838" s="20"/>
      <c r="C838" s="21"/>
      <c r="D838" s="21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</row>
    <row r="839" spans="1:24" ht="15.75" customHeight="1" x14ac:dyDescent="0.2">
      <c r="A839" s="20"/>
      <c r="B839" s="20"/>
      <c r="C839" s="21"/>
      <c r="D839" s="21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</row>
    <row r="840" spans="1:24" ht="15.75" customHeight="1" x14ac:dyDescent="0.2">
      <c r="A840" s="20"/>
      <c r="B840" s="20"/>
      <c r="C840" s="21"/>
      <c r="D840" s="21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</row>
    <row r="841" spans="1:24" ht="15.75" customHeight="1" x14ac:dyDescent="0.2">
      <c r="A841" s="20"/>
      <c r="B841" s="20"/>
      <c r="C841" s="21"/>
      <c r="D841" s="21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</row>
    <row r="842" spans="1:24" ht="15.75" customHeight="1" x14ac:dyDescent="0.2">
      <c r="A842" s="20"/>
      <c r="B842" s="20"/>
      <c r="C842" s="21"/>
      <c r="D842" s="21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</row>
    <row r="843" spans="1:24" ht="15.75" customHeight="1" x14ac:dyDescent="0.2">
      <c r="A843" s="20"/>
      <c r="B843" s="20"/>
      <c r="C843" s="21"/>
      <c r="D843" s="21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</row>
    <row r="844" spans="1:24" ht="15.75" customHeight="1" x14ac:dyDescent="0.2">
      <c r="A844" s="20"/>
      <c r="B844" s="20"/>
      <c r="C844" s="21"/>
      <c r="D844" s="21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</row>
    <row r="845" spans="1:24" ht="15.75" customHeight="1" x14ac:dyDescent="0.2">
      <c r="A845" s="20"/>
      <c r="B845" s="20"/>
      <c r="C845" s="21"/>
      <c r="D845" s="21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</row>
    <row r="846" spans="1:24" ht="15.75" customHeight="1" x14ac:dyDescent="0.2">
      <c r="A846" s="20"/>
      <c r="B846" s="20"/>
      <c r="C846" s="21"/>
      <c r="D846" s="21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</row>
    <row r="847" spans="1:24" ht="15.75" customHeight="1" x14ac:dyDescent="0.2">
      <c r="A847" s="20"/>
      <c r="B847" s="20"/>
      <c r="C847" s="21"/>
      <c r="D847" s="21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</row>
    <row r="848" spans="1:24" ht="15.75" customHeight="1" x14ac:dyDescent="0.2">
      <c r="A848" s="20"/>
      <c r="B848" s="20"/>
      <c r="C848" s="21"/>
      <c r="D848" s="21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</row>
    <row r="849" spans="1:24" ht="15.75" customHeight="1" x14ac:dyDescent="0.2">
      <c r="A849" s="20"/>
      <c r="B849" s="20"/>
      <c r="C849" s="21"/>
      <c r="D849" s="21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</row>
    <row r="850" spans="1:24" ht="15.75" customHeight="1" x14ac:dyDescent="0.2">
      <c r="A850" s="20"/>
      <c r="B850" s="20"/>
      <c r="C850" s="21"/>
      <c r="D850" s="21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</row>
    <row r="851" spans="1:24" ht="15.75" customHeight="1" x14ac:dyDescent="0.2">
      <c r="A851" s="20"/>
      <c r="B851" s="20"/>
      <c r="C851" s="21"/>
      <c r="D851" s="21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</row>
    <row r="852" spans="1:24" ht="15.75" customHeight="1" x14ac:dyDescent="0.2">
      <c r="A852" s="20"/>
      <c r="B852" s="20"/>
      <c r="C852" s="21"/>
      <c r="D852" s="21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</row>
    <row r="853" spans="1:24" ht="15.75" customHeight="1" x14ac:dyDescent="0.2">
      <c r="A853" s="20"/>
      <c r="B853" s="20"/>
      <c r="C853" s="21"/>
      <c r="D853" s="21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</row>
    <row r="854" spans="1:24" ht="15.75" customHeight="1" x14ac:dyDescent="0.2">
      <c r="A854" s="20"/>
      <c r="B854" s="20"/>
      <c r="C854" s="21"/>
      <c r="D854" s="21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</row>
    <row r="855" spans="1:24" ht="15.75" customHeight="1" x14ac:dyDescent="0.2">
      <c r="A855" s="20"/>
      <c r="B855" s="20"/>
      <c r="C855" s="21"/>
      <c r="D855" s="21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</row>
    <row r="856" spans="1:24" ht="15.75" customHeight="1" x14ac:dyDescent="0.2">
      <c r="A856" s="20"/>
      <c r="B856" s="20"/>
      <c r="C856" s="21"/>
      <c r="D856" s="21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</row>
    <row r="857" spans="1:24" ht="15.75" customHeight="1" x14ac:dyDescent="0.2">
      <c r="A857" s="20"/>
      <c r="B857" s="20"/>
      <c r="C857" s="21"/>
      <c r="D857" s="21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</row>
    <row r="858" spans="1:24" ht="15.75" customHeight="1" x14ac:dyDescent="0.2">
      <c r="A858" s="20"/>
      <c r="B858" s="20"/>
      <c r="C858" s="21"/>
      <c r="D858" s="21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</row>
    <row r="859" spans="1:24" ht="15.75" customHeight="1" x14ac:dyDescent="0.2">
      <c r="A859" s="20"/>
      <c r="B859" s="20"/>
      <c r="C859" s="21"/>
      <c r="D859" s="21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</row>
    <row r="860" spans="1:24" ht="15.75" customHeight="1" x14ac:dyDescent="0.2">
      <c r="A860" s="20"/>
      <c r="B860" s="20"/>
      <c r="C860" s="21"/>
      <c r="D860" s="21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</row>
    <row r="861" spans="1:24" ht="15.75" customHeight="1" x14ac:dyDescent="0.2">
      <c r="A861" s="20"/>
      <c r="B861" s="20"/>
      <c r="C861" s="21"/>
      <c r="D861" s="21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</row>
    <row r="862" spans="1:24" ht="15.75" customHeight="1" x14ac:dyDescent="0.2">
      <c r="A862" s="20"/>
      <c r="B862" s="20"/>
      <c r="C862" s="21"/>
      <c r="D862" s="21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</row>
    <row r="863" spans="1:24" ht="15.75" customHeight="1" x14ac:dyDescent="0.2">
      <c r="A863" s="20"/>
      <c r="B863" s="20"/>
      <c r="C863" s="21"/>
      <c r="D863" s="21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</row>
    <row r="864" spans="1:24" ht="15.75" customHeight="1" x14ac:dyDescent="0.2">
      <c r="A864" s="20"/>
      <c r="B864" s="20"/>
      <c r="C864" s="21"/>
      <c r="D864" s="21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</row>
    <row r="865" spans="1:24" ht="15.75" customHeight="1" x14ac:dyDescent="0.2">
      <c r="A865" s="20"/>
      <c r="B865" s="20"/>
      <c r="C865" s="21"/>
      <c r="D865" s="21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</row>
    <row r="866" spans="1:24" ht="15.75" customHeight="1" x14ac:dyDescent="0.2">
      <c r="A866" s="20"/>
      <c r="B866" s="20"/>
      <c r="C866" s="21"/>
      <c r="D866" s="21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</row>
    <row r="867" spans="1:24" ht="15.75" customHeight="1" x14ac:dyDescent="0.2">
      <c r="A867" s="20"/>
      <c r="B867" s="20"/>
      <c r="C867" s="21"/>
      <c r="D867" s="21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</row>
    <row r="868" spans="1:24" ht="15.75" customHeight="1" x14ac:dyDescent="0.2">
      <c r="A868" s="20"/>
      <c r="B868" s="20"/>
      <c r="C868" s="21"/>
      <c r="D868" s="21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</row>
    <row r="869" spans="1:24" ht="15.75" customHeight="1" x14ac:dyDescent="0.2">
      <c r="A869" s="20"/>
      <c r="B869" s="20"/>
      <c r="C869" s="21"/>
      <c r="D869" s="21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</row>
    <row r="870" spans="1:24" ht="15.75" customHeight="1" x14ac:dyDescent="0.2">
      <c r="A870" s="20"/>
      <c r="B870" s="20"/>
      <c r="C870" s="21"/>
      <c r="D870" s="21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</row>
    <row r="871" spans="1:24" ht="15.75" customHeight="1" x14ac:dyDescent="0.2">
      <c r="A871" s="20"/>
      <c r="B871" s="20"/>
      <c r="C871" s="21"/>
      <c r="D871" s="21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</row>
    <row r="872" spans="1:24" ht="15.75" customHeight="1" x14ac:dyDescent="0.2">
      <c r="A872" s="20"/>
      <c r="B872" s="20"/>
      <c r="C872" s="21"/>
      <c r="D872" s="21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</row>
    <row r="873" spans="1:24" ht="15.75" customHeight="1" x14ac:dyDescent="0.2">
      <c r="A873" s="20"/>
      <c r="B873" s="20"/>
      <c r="C873" s="21"/>
      <c r="D873" s="21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</row>
    <row r="874" spans="1:24" ht="15.75" customHeight="1" x14ac:dyDescent="0.2">
      <c r="A874" s="20"/>
      <c r="B874" s="20"/>
      <c r="C874" s="21"/>
      <c r="D874" s="21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</row>
    <row r="875" spans="1:24" ht="15.75" customHeight="1" x14ac:dyDescent="0.2">
      <c r="A875" s="20"/>
      <c r="B875" s="20"/>
      <c r="C875" s="21"/>
      <c r="D875" s="21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</row>
    <row r="876" spans="1:24" ht="15.75" customHeight="1" x14ac:dyDescent="0.2">
      <c r="A876" s="20"/>
      <c r="B876" s="20"/>
      <c r="C876" s="21"/>
      <c r="D876" s="21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</row>
    <row r="877" spans="1:24" ht="15.75" customHeight="1" x14ac:dyDescent="0.2">
      <c r="A877" s="20"/>
      <c r="B877" s="20"/>
      <c r="C877" s="21"/>
      <c r="D877" s="21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</row>
    <row r="878" spans="1:24" ht="15.75" customHeight="1" x14ac:dyDescent="0.2">
      <c r="A878" s="20"/>
      <c r="B878" s="20"/>
      <c r="C878" s="21"/>
      <c r="D878" s="21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</row>
    <row r="879" spans="1:24" ht="15.75" customHeight="1" x14ac:dyDescent="0.2">
      <c r="A879" s="20"/>
      <c r="B879" s="20"/>
      <c r="C879" s="21"/>
      <c r="D879" s="21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</row>
    <row r="880" spans="1:24" ht="15.75" customHeight="1" x14ac:dyDescent="0.2">
      <c r="A880" s="20"/>
      <c r="B880" s="20"/>
      <c r="C880" s="21"/>
      <c r="D880" s="21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</row>
    <row r="881" spans="1:24" ht="15.75" customHeight="1" x14ac:dyDescent="0.2">
      <c r="A881" s="20"/>
      <c r="B881" s="20"/>
      <c r="C881" s="21"/>
      <c r="D881" s="21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</row>
    <row r="882" spans="1:24" ht="15.75" customHeight="1" x14ac:dyDescent="0.2">
      <c r="A882" s="20"/>
      <c r="B882" s="20"/>
      <c r="C882" s="21"/>
      <c r="D882" s="21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</row>
    <row r="883" spans="1:24" ht="15.75" customHeight="1" x14ac:dyDescent="0.2">
      <c r="A883" s="20"/>
      <c r="B883" s="20"/>
      <c r="C883" s="21"/>
      <c r="D883" s="21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</row>
    <row r="884" spans="1:24" ht="15.75" customHeight="1" x14ac:dyDescent="0.2">
      <c r="A884" s="20"/>
      <c r="B884" s="20"/>
      <c r="C884" s="21"/>
      <c r="D884" s="21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</row>
    <row r="885" spans="1:24" ht="15.75" customHeight="1" x14ac:dyDescent="0.2">
      <c r="A885" s="20"/>
      <c r="B885" s="20"/>
      <c r="C885" s="21"/>
      <c r="D885" s="21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</row>
    <row r="886" spans="1:24" ht="15.75" customHeight="1" x14ac:dyDescent="0.2">
      <c r="A886" s="20"/>
      <c r="B886" s="20"/>
      <c r="C886" s="21"/>
      <c r="D886" s="21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</row>
    <row r="887" spans="1:24" ht="15.75" customHeight="1" x14ac:dyDescent="0.2">
      <c r="A887" s="20"/>
      <c r="B887" s="20"/>
      <c r="C887" s="21"/>
      <c r="D887" s="21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</row>
    <row r="888" spans="1:24" ht="15.75" customHeight="1" x14ac:dyDescent="0.2">
      <c r="A888" s="20"/>
      <c r="B888" s="20"/>
      <c r="C888" s="21"/>
      <c r="D888" s="21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</row>
    <row r="889" spans="1:24" ht="15.75" customHeight="1" x14ac:dyDescent="0.2">
      <c r="A889" s="20"/>
      <c r="B889" s="20"/>
      <c r="C889" s="21"/>
      <c r="D889" s="21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</row>
    <row r="890" spans="1:24" ht="15.75" customHeight="1" x14ac:dyDescent="0.2">
      <c r="A890" s="20"/>
      <c r="B890" s="20"/>
      <c r="C890" s="21"/>
      <c r="D890" s="21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</row>
    <row r="891" spans="1:24" ht="15.75" customHeight="1" x14ac:dyDescent="0.2">
      <c r="A891" s="20"/>
      <c r="B891" s="20"/>
      <c r="C891" s="21"/>
      <c r="D891" s="21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</row>
    <row r="892" spans="1:24" ht="15.75" customHeight="1" x14ac:dyDescent="0.2">
      <c r="A892" s="20"/>
      <c r="B892" s="20"/>
      <c r="C892" s="21"/>
      <c r="D892" s="21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 spans="1:24" ht="15.75" customHeight="1" x14ac:dyDescent="0.2">
      <c r="A893" s="20"/>
      <c r="B893" s="20"/>
      <c r="C893" s="21"/>
      <c r="D893" s="21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</row>
    <row r="894" spans="1:24" ht="15.75" customHeight="1" x14ac:dyDescent="0.2">
      <c r="A894" s="20"/>
      <c r="B894" s="20"/>
      <c r="C894" s="21"/>
      <c r="D894" s="21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</row>
    <row r="895" spans="1:24" ht="15.75" customHeight="1" x14ac:dyDescent="0.2">
      <c r="A895" s="20"/>
      <c r="B895" s="20"/>
      <c r="C895" s="21"/>
      <c r="D895" s="21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</row>
    <row r="896" spans="1:24" ht="15.75" customHeight="1" x14ac:dyDescent="0.2">
      <c r="A896" s="20"/>
      <c r="B896" s="20"/>
      <c r="C896" s="21"/>
      <c r="D896" s="21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</row>
    <row r="897" spans="1:24" ht="15.75" customHeight="1" x14ac:dyDescent="0.2">
      <c r="A897" s="20"/>
      <c r="B897" s="20"/>
      <c r="C897" s="21"/>
      <c r="D897" s="21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</row>
    <row r="898" spans="1:24" ht="15.75" customHeight="1" x14ac:dyDescent="0.2">
      <c r="A898" s="20"/>
      <c r="B898" s="20"/>
      <c r="C898" s="21"/>
      <c r="D898" s="21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</row>
    <row r="899" spans="1:24" ht="15.75" customHeight="1" x14ac:dyDescent="0.2">
      <c r="A899" s="20"/>
      <c r="B899" s="20"/>
      <c r="C899" s="21"/>
      <c r="D899" s="21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</row>
    <row r="900" spans="1:24" ht="15.75" customHeight="1" x14ac:dyDescent="0.2">
      <c r="A900" s="20"/>
      <c r="B900" s="20"/>
      <c r="C900" s="21"/>
      <c r="D900" s="21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</row>
    <row r="901" spans="1:24" ht="15.75" customHeight="1" x14ac:dyDescent="0.2">
      <c r="A901" s="20"/>
      <c r="B901" s="20"/>
      <c r="C901" s="21"/>
      <c r="D901" s="21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</row>
    <row r="902" spans="1:24" ht="15.75" customHeight="1" x14ac:dyDescent="0.2">
      <c r="A902" s="20"/>
      <c r="B902" s="20"/>
      <c r="C902" s="21"/>
      <c r="D902" s="21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</row>
    <row r="903" spans="1:24" ht="15.75" customHeight="1" x14ac:dyDescent="0.2">
      <c r="A903" s="20"/>
      <c r="B903" s="20"/>
      <c r="C903" s="21"/>
      <c r="D903" s="21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</row>
    <row r="904" spans="1:24" ht="15.75" customHeight="1" x14ac:dyDescent="0.2">
      <c r="A904" s="20"/>
      <c r="B904" s="20"/>
      <c r="C904" s="21"/>
      <c r="D904" s="21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</row>
    <row r="905" spans="1:24" ht="15.75" customHeight="1" x14ac:dyDescent="0.2">
      <c r="A905" s="20"/>
      <c r="B905" s="20"/>
      <c r="C905" s="21"/>
      <c r="D905" s="21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</row>
    <row r="906" spans="1:24" ht="15.75" customHeight="1" x14ac:dyDescent="0.2">
      <c r="A906" s="20"/>
      <c r="B906" s="20"/>
      <c r="C906" s="21"/>
      <c r="D906" s="21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</row>
    <row r="907" spans="1:24" ht="15.75" customHeight="1" x14ac:dyDescent="0.2">
      <c r="A907" s="20"/>
      <c r="B907" s="20"/>
      <c r="C907" s="21"/>
      <c r="D907" s="21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</row>
    <row r="908" spans="1:24" ht="15.75" customHeight="1" x14ac:dyDescent="0.2">
      <c r="A908" s="20"/>
      <c r="B908" s="20"/>
      <c r="C908" s="21"/>
      <c r="D908" s="21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</row>
    <row r="909" spans="1:24" ht="15.75" customHeight="1" x14ac:dyDescent="0.2">
      <c r="A909" s="20"/>
      <c r="B909" s="20"/>
      <c r="C909" s="21"/>
      <c r="D909" s="21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</row>
    <row r="910" spans="1:24" ht="15.75" customHeight="1" x14ac:dyDescent="0.2">
      <c r="A910" s="20"/>
      <c r="B910" s="20"/>
      <c r="C910" s="21"/>
      <c r="D910" s="21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</row>
    <row r="911" spans="1:24" ht="15.75" customHeight="1" x14ac:dyDescent="0.2">
      <c r="A911" s="20"/>
      <c r="B911" s="20"/>
      <c r="C911" s="21"/>
      <c r="D911" s="21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</row>
    <row r="912" spans="1:24" ht="15.75" customHeight="1" x14ac:dyDescent="0.2">
      <c r="A912" s="20"/>
      <c r="B912" s="20"/>
      <c r="C912" s="21"/>
      <c r="D912" s="21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</row>
    <row r="913" spans="1:24" ht="15.75" customHeight="1" x14ac:dyDescent="0.2">
      <c r="A913" s="20"/>
      <c r="B913" s="20"/>
      <c r="C913" s="21"/>
      <c r="D913" s="21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</row>
    <row r="914" spans="1:24" ht="15.75" customHeight="1" x14ac:dyDescent="0.2">
      <c r="A914" s="20"/>
      <c r="B914" s="20"/>
      <c r="C914" s="21"/>
      <c r="D914" s="21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</row>
    <row r="915" spans="1:24" ht="15.75" customHeight="1" x14ac:dyDescent="0.2">
      <c r="A915" s="20"/>
      <c r="B915" s="20"/>
      <c r="C915" s="21"/>
      <c r="D915" s="21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</row>
    <row r="916" spans="1:24" ht="15.75" customHeight="1" x14ac:dyDescent="0.2">
      <c r="A916" s="20"/>
      <c r="B916" s="20"/>
      <c r="C916" s="21"/>
      <c r="D916" s="21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</row>
    <row r="917" spans="1:24" ht="15.75" customHeight="1" x14ac:dyDescent="0.2">
      <c r="A917" s="20"/>
      <c r="B917" s="20"/>
      <c r="C917" s="21"/>
      <c r="D917" s="21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</row>
    <row r="918" spans="1:24" ht="15.75" customHeight="1" x14ac:dyDescent="0.2">
      <c r="A918" s="20"/>
      <c r="B918" s="20"/>
      <c r="C918" s="21"/>
      <c r="D918" s="21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</row>
    <row r="919" spans="1:24" ht="15.75" customHeight="1" x14ac:dyDescent="0.2">
      <c r="A919" s="20"/>
      <c r="B919" s="20"/>
      <c r="C919" s="21"/>
      <c r="D919" s="21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</row>
    <row r="920" spans="1:24" ht="15.75" customHeight="1" x14ac:dyDescent="0.2">
      <c r="A920" s="20"/>
      <c r="B920" s="20"/>
      <c r="C920" s="21"/>
      <c r="D920" s="21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</row>
    <row r="921" spans="1:24" ht="15.75" customHeight="1" x14ac:dyDescent="0.2">
      <c r="A921" s="20"/>
      <c r="B921" s="20"/>
      <c r="C921" s="21"/>
      <c r="D921" s="21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</row>
    <row r="922" spans="1:24" ht="15.75" customHeight="1" x14ac:dyDescent="0.2">
      <c r="A922" s="20"/>
      <c r="B922" s="20"/>
      <c r="C922" s="21"/>
      <c r="D922" s="21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</row>
    <row r="923" spans="1:24" ht="15.75" customHeight="1" x14ac:dyDescent="0.2">
      <c r="A923" s="20"/>
      <c r="B923" s="20"/>
      <c r="C923" s="21"/>
      <c r="D923" s="21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</row>
    <row r="924" spans="1:24" ht="15.75" customHeight="1" x14ac:dyDescent="0.2">
      <c r="A924" s="20"/>
      <c r="B924" s="20"/>
      <c r="C924" s="21"/>
      <c r="D924" s="21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</row>
    <row r="925" spans="1:24" ht="15.75" customHeight="1" x14ac:dyDescent="0.2">
      <c r="A925" s="20"/>
      <c r="B925" s="20"/>
      <c r="C925" s="21"/>
      <c r="D925" s="21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</row>
    <row r="926" spans="1:24" ht="15.75" customHeight="1" x14ac:dyDescent="0.2">
      <c r="A926" s="20"/>
      <c r="B926" s="20"/>
      <c r="C926" s="21"/>
      <c r="D926" s="21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</row>
    <row r="927" spans="1:24" ht="15.75" customHeight="1" x14ac:dyDescent="0.2">
      <c r="A927" s="20"/>
      <c r="B927" s="20"/>
      <c r="C927" s="21"/>
      <c r="D927" s="21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</row>
    <row r="928" spans="1:24" ht="15.75" customHeight="1" x14ac:dyDescent="0.2">
      <c r="A928" s="20"/>
      <c r="B928" s="20"/>
      <c r="C928" s="21"/>
      <c r="D928" s="21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</row>
    <row r="929" spans="1:24" ht="15.75" customHeight="1" x14ac:dyDescent="0.2">
      <c r="A929" s="20"/>
      <c r="B929" s="20"/>
      <c r="C929" s="21"/>
      <c r="D929" s="21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</row>
    <row r="930" spans="1:24" ht="15.75" customHeight="1" x14ac:dyDescent="0.2">
      <c r="A930" s="20"/>
      <c r="B930" s="20"/>
      <c r="C930" s="21"/>
      <c r="D930" s="21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</row>
    <row r="931" spans="1:24" ht="15.75" customHeight="1" x14ac:dyDescent="0.2">
      <c r="A931" s="20"/>
      <c r="B931" s="20"/>
      <c r="C931" s="21"/>
      <c r="D931" s="21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</row>
    <row r="932" spans="1:24" ht="15.75" customHeight="1" x14ac:dyDescent="0.2">
      <c r="A932" s="20"/>
      <c r="B932" s="20"/>
      <c r="C932" s="21"/>
      <c r="D932" s="21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</row>
    <row r="933" spans="1:24" ht="15.75" customHeight="1" x14ac:dyDescent="0.2">
      <c r="A933" s="20"/>
      <c r="B933" s="20"/>
      <c r="C933" s="21"/>
      <c r="D933" s="21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</row>
    <row r="934" spans="1:24" ht="15.75" customHeight="1" x14ac:dyDescent="0.2">
      <c r="A934" s="20"/>
      <c r="B934" s="20"/>
      <c r="C934" s="21"/>
      <c r="D934" s="21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</row>
    <row r="935" spans="1:24" ht="15.75" customHeight="1" x14ac:dyDescent="0.2">
      <c r="A935" s="20"/>
      <c r="B935" s="20"/>
      <c r="C935" s="21"/>
      <c r="D935" s="21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</row>
    <row r="936" spans="1:24" ht="15.75" customHeight="1" x14ac:dyDescent="0.2">
      <c r="A936" s="20"/>
      <c r="B936" s="20"/>
      <c r="C936" s="21"/>
      <c r="D936" s="21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</row>
    <row r="937" spans="1:24" ht="15.75" customHeight="1" x14ac:dyDescent="0.2">
      <c r="A937" s="20"/>
      <c r="B937" s="20"/>
      <c r="C937" s="21"/>
      <c r="D937" s="21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</row>
    <row r="938" spans="1:24" ht="15.75" customHeight="1" x14ac:dyDescent="0.2">
      <c r="A938" s="20"/>
      <c r="B938" s="20"/>
      <c r="C938" s="21"/>
      <c r="D938" s="21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</row>
    <row r="939" spans="1:24" ht="15.75" customHeight="1" x14ac:dyDescent="0.2">
      <c r="A939" s="20"/>
      <c r="B939" s="20"/>
      <c r="C939" s="21"/>
      <c r="D939" s="21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</row>
    <row r="940" spans="1:24" ht="15.75" customHeight="1" x14ac:dyDescent="0.2">
      <c r="A940" s="20"/>
      <c r="B940" s="20"/>
      <c r="C940" s="21"/>
      <c r="D940" s="21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</row>
    <row r="941" spans="1:24" ht="15.75" customHeight="1" x14ac:dyDescent="0.2">
      <c r="A941" s="20"/>
      <c r="B941" s="20"/>
      <c r="C941" s="21"/>
      <c r="D941" s="21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</row>
    <row r="942" spans="1:24" ht="15.75" customHeight="1" x14ac:dyDescent="0.2">
      <c r="A942" s="20"/>
      <c r="B942" s="20"/>
      <c r="C942" s="21"/>
      <c r="D942" s="21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</row>
    <row r="943" spans="1:24" ht="15.75" customHeight="1" x14ac:dyDescent="0.2">
      <c r="A943" s="20"/>
      <c r="B943" s="20"/>
      <c r="C943" s="21"/>
      <c r="D943" s="21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</row>
    <row r="944" spans="1:24" ht="15.75" customHeight="1" x14ac:dyDescent="0.2">
      <c r="A944" s="20"/>
      <c r="B944" s="20"/>
      <c r="C944" s="21"/>
      <c r="D944" s="21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</row>
    <row r="945" spans="1:24" ht="15.75" customHeight="1" x14ac:dyDescent="0.2">
      <c r="A945" s="20"/>
      <c r="B945" s="20"/>
      <c r="C945" s="21"/>
      <c r="D945" s="21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</row>
    <row r="946" spans="1:24" ht="15.75" customHeight="1" x14ac:dyDescent="0.2">
      <c r="A946" s="20"/>
      <c r="B946" s="20"/>
      <c r="C946" s="21"/>
      <c r="D946" s="21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</row>
    <row r="947" spans="1:24" ht="15.75" customHeight="1" x14ac:dyDescent="0.2">
      <c r="A947" s="20"/>
      <c r="B947" s="20"/>
      <c r="C947" s="21"/>
      <c r="D947" s="21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</row>
    <row r="948" spans="1:24" ht="15.75" customHeight="1" x14ac:dyDescent="0.2">
      <c r="A948" s="20"/>
      <c r="B948" s="20"/>
      <c r="C948" s="21"/>
      <c r="D948" s="21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</row>
    <row r="949" spans="1:24" ht="15.75" customHeight="1" x14ac:dyDescent="0.2">
      <c r="A949" s="20"/>
      <c r="B949" s="20"/>
      <c r="C949" s="21"/>
      <c r="D949" s="21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</row>
    <row r="950" spans="1:24" ht="15.75" customHeight="1" x14ac:dyDescent="0.2">
      <c r="A950" s="20"/>
      <c r="B950" s="20"/>
      <c r="C950" s="21"/>
      <c r="D950" s="21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</row>
    <row r="951" spans="1:24" ht="15.75" customHeight="1" x14ac:dyDescent="0.2">
      <c r="A951" s="20"/>
      <c r="B951" s="20"/>
      <c r="C951" s="21"/>
      <c r="D951" s="21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</row>
    <row r="952" spans="1:24" ht="15.75" customHeight="1" x14ac:dyDescent="0.2">
      <c r="A952" s="20"/>
      <c r="B952" s="20"/>
      <c r="C952" s="21"/>
      <c r="D952" s="21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</row>
    <row r="953" spans="1:24" ht="15.75" customHeight="1" x14ac:dyDescent="0.2">
      <c r="A953" s="20"/>
      <c r="B953" s="20"/>
      <c r="C953" s="21"/>
      <c r="D953" s="21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</row>
    <row r="954" spans="1:24" ht="15.75" customHeight="1" x14ac:dyDescent="0.2">
      <c r="A954" s="20"/>
      <c r="B954" s="20"/>
      <c r="C954" s="21"/>
      <c r="D954" s="21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</row>
    <row r="955" spans="1:24" ht="15.75" customHeight="1" x14ac:dyDescent="0.2">
      <c r="A955" s="20"/>
      <c r="B955" s="20"/>
      <c r="C955" s="21"/>
      <c r="D955" s="21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</row>
    <row r="956" spans="1:24" ht="15.75" customHeight="1" x14ac:dyDescent="0.2">
      <c r="A956" s="20"/>
      <c r="B956" s="20"/>
      <c r="C956" s="21"/>
      <c r="D956" s="21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</row>
    <row r="957" spans="1:24" ht="15.75" customHeight="1" x14ac:dyDescent="0.2">
      <c r="A957" s="20"/>
      <c r="B957" s="20"/>
      <c r="C957" s="21"/>
      <c r="D957" s="21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</row>
    <row r="958" spans="1:24" ht="15.75" customHeight="1" x14ac:dyDescent="0.2">
      <c r="A958" s="20"/>
      <c r="B958" s="20"/>
      <c r="C958" s="21"/>
      <c r="D958" s="21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</row>
    <row r="959" spans="1:24" ht="15.75" customHeight="1" x14ac:dyDescent="0.2">
      <c r="A959" s="20"/>
      <c r="B959" s="20"/>
      <c r="C959" s="21"/>
      <c r="D959" s="21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</row>
    <row r="960" spans="1:24" ht="15.75" customHeight="1" x14ac:dyDescent="0.2">
      <c r="A960" s="20"/>
      <c r="B960" s="20"/>
      <c r="C960" s="21"/>
      <c r="D960" s="21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</row>
    <row r="961" spans="1:24" ht="15.75" customHeight="1" x14ac:dyDescent="0.2">
      <c r="A961" s="20"/>
      <c r="B961" s="20"/>
      <c r="C961" s="21"/>
      <c r="D961" s="21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</row>
    <row r="962" spans="1:24" ht="15.75" customHeight="1" x14ac:dyDescent="0.2">
      <c r="A962" s="20"/>
      <c r="B962" s="20"/>
      <c r="C962" s="21"/>
      <c r="D962" s="21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</row>
    <row r="963" spans="1:24" ht="15.75" customHeight="1" x14ac:dyDescent="0.2">
      <c r="A963" s="20"/>
      <c r="B963" s="20"/>
      <c r="C963" s="21"/>
      <c r="D963" s="21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</row>
    <row r="964" spans="1:24" ht="15.75" customHeight="1" x14ac:dyDescent="0.2">
      <c r="A964" s="20"/>
      <c r="B964" s="20"/>
      <c r="C964" s="21"/>
      <c r="D964" s="21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</row>
    <row r="965" spans="1:24" ht="15.75" customHeight="1" x14ac:dyDescent="0.2">
      <c r="A965" s="20"/>
      <c r="B965" s="20"/>
      <c r="C965" s="21"/>
      <c r="D965" s="21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</row>
    <row r="966" spans="1:24" ht="15.75" customHeight="1" x14ac:dyDescent="0.2">
      <c r="A966" s="20"/>
      <c r="B966" s="20"/>
      <c r="C966" s="21"/>
      <c r="D966" s="21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</row>
    <row r="967" spans="1:24" ht="15.75" customHeight="1" x14ac:dyDescent="0.2">
      <c r="A967" s="20"/>
      <c r="B967" s="20"/>
      <c r="C967" s="21"/>
      <c r="D967" s="21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</row>
    <row r="968" spans="1:24" ht="15.75" customHeight="1" x14ac:dyDescent="0.2">
      <c r="A968" s="20"/>
      <c r="B968" s="20"/>
      <c r="C968" s="21"/>
      <c r="D968" s="21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</row>
    <row r="969" spans="1:24" ht="15.75" customHeight="1" x14ac:dyDescent="0.2">
      <c r="A969" s="20"/>
      <c r="B969" s="20"/>
      <c r="C969" s="21"/>
      <c r="D969" s="21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</row>
    <row r="970" spans="1:24" ht="15.75" customHeight="1" x14ac:dyDescent="0.2">
      <c r="A970" s="20"/>
      <c r="B970" s="20"/>
      <c r="C970" s="21"/>
      <c r="D970" s="21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</row>
    <row r="971" spans="1:24" ht="15.75" customHeight="1" x14ac:dyDescent="0.2">
      <c r="A971" s="20"/>
      <c r="B971" s="20"/>
      <c r="C971" s="21"/>
      <c r="D971" s="21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</row>
    <row r="972" spans="1:24" ht="15.75" customHeight="1" x14ac:dyDescent="0.2">
      <c r="A972" s="20"/>
      <c r="B972" s="20"/>
      <c r="C972" s="21"/>
      <c r="D972" s="21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</row>
    <row r="973" spans="1:24" ht="15.75" customHeight="1" x14ac:dyDescent="0.2">
      <c r="A973" s="20"/>
      <c r="B973" s="20"/>
      <c r="C973" s="21"/>
      <c r="D973" s="21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</row>
    <row r="974" spans="1:24" ht="15.75" customHeight="1" x14ac:dyDescent="0.2">
      <c r="A974" s="20"/>
      <c r="B974" s="20"/>
      <c r="C974" s="21"/>
      <c r="D974" s="21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</row>
    <row r="975" spans="1:24" ht="15.75" customHeight="1" x14ac:dyDescent="0.2">
      <c r="A975" s="20"/>
      <c r="B975" s="20"/>
      <c r="C975" s="21"/>
      <c r="D975" s="21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</row>
    <row r="976" spans="1:24" ht="15.75" customHeight="1" x14ac:dyDescent="0.2">
      <c r="A976" s="20"/>
      <c r="B976" s="20"/>
      <c r="C976" s="21"/>
      <c r="D976" s="21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</row>
    <row r="977" spans="1:24" ht="15.75" customHeight="1" x14ac:dyDescent="0.2">
      <c r="A977" s="20"/>
      <c r="B977" s="20"/>
      <c r="C977" s="21"/>
      <c r="D977" s="21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</row>
    <row r="978" spans="1:24" ht="15.75" customHeight="1" x14ac:dyDescent="0.2">
      <c r="A978" s="20"/>
      <c r="B978" s="20"/>
      <c r="C978" s="21"/>
      <c r="D978" s="21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</row>
    <row r="979" spans="1:24" ht="15.75" customHeight="1" x14ac:dyDescent="0.2">
      <c r="A979" s="20"/>
      <c r="B979" s="20"/>
      <c r="C979" s="21"/>
      <c r="D979" s="21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</row>
    <row r="980" spans="1:24" ht="15.75" customHeight="1" x14ac:dyDescent="0.2">
      <c r="A980" s="20"/>
      <c r="B980" s="20"/>
      <c r="C980" s="21"/>
      <c r="D980" s="21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</row>
    <row r="981" spans="1:24" ht="15.75" customHeight="1" x14ac:dyDescent="0.2">
      <c r="A981" s="20"/>
      <c r="B981" s="20"/>
      <c r="C981" s="21"/>
      <c r="D981" s="21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</row>
    <row r="982" spans="1:24" ht="15.75" customHeight="1" x14ac:dyDescent="0.2">
      <c r="A982" s="20"/>
      <c r="B982" s="20"/>
      <c r="C982" s="21"/>
      <c r="D982" s="21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</row>
    <row r="983" spans="1:24" ht="15.75" customHeight="1" x14ac:dyDescent="0.2">
      <c r="A983" s="20"/>
      <c r="B983" s="20"/>
      <c r="C983" s="21"/>
      <c r="D983" s="21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</row>
    <row r="984" spans="1:24" ht="15.75" customHeight="1" x14ac:dyDescent="0.2">
      <c r="A984" s="20"/>
      <c r="B984" s="20"/>
      <c r="C984" s="21"/>
      <c r="D984" s="21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</row>
    <row r="985" spans="1:24" ht="15.75" customHeight="1" x14ac:dyDescent="0.2">
      <c r="A985" s="20"/>
      <c r="B985" s="20"/>
      <c r="C985" s="21"/>
      <c r="D985" s="21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</row>
    <row r="986" spans="1:24" ht="15.75" customHeight="1" x14ac:dyDescent="0.2">
      <c r="A986" s="20"/>
      <c r="B986" s="20"/>
      <c r="C986" s="21"/>
      <c r="D986" s="21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</row>
    <row r="987" spans="1:24" ht="15.75" customHeight="1" x14ac:dyDescent="0.2">
      <c r="A987" s="20"/>
      <c r="B987" s="20"/>
      <c r="C987" s="21"/>
      <c r="D987" s="21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</row>
    <row r="988" spans="1:24" ht="15.75" customHeight="1" x14ac:dyDescent="0.2">
      <c r="A988" s="20"/>
      <c r="B988" s="20"/>
      <c r="C988" s="21"/>
      <c r="D988" s="21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</row>
    <row r="989" spans="1:24" ht="15.75" customHeight="1" x14ac:dyDescent="0.2">
      <c r="A989" s="20"/>
      <c r="B989" s="20"/>
      <c r="C989" s="21"/>
      <c r="D989" s="21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</row>
    <row r="990" spans="1:24" ht="15.75" customHeight="1" x14ac:dyDescent="0.2">
      <c r="A990" s="20"/>
      <c r="B990" s="20"/>
      <c r="C990" s="21"/>
      <c r="D990" s="21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</row>
    <row r="991" spans="1:24" ht="15.75" customHeight="1" x14ac:dyDescent="0.2">
      <c r="A991" s="20"/>
      <c r="B991" s="20"/>
      <c r="C991" s="21"/>
      <c r="D991" s="21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</row>
    <row r="992" spans="1:24" ht="15.75" customHeight="1" x14ac:dyDescent="0.2">
      <c r="A992" s="20"/>
      <c r="B992" s="20"/>
      <c r="C992" s="21"/>
      <c r="D992" s="21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</row>
    <row r="993" spans="1:24" ht="15.75" customHeight="1" x14ac:dyDescent="0.2">
      <c r="A993" s="20"/>
      <c r="B993" s="20"/>
      <c r="C993" s="21"/>
      <c r="D993" s="21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</row>
    <row r="994" spans="1:24" ht="15.75" customHeight="1" x14ac:dyDescent="0.2">
      <c r="A994" s="20"/>
      <c r="B994" s="20"/>
      <c r="C994" s="21"/>
      <c r="D994" s="21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</row>
    <row r="995" spans="1:24" ht="15.75" customHeight="1" x14ac:dyDescent="0.2">
      <c r="A995" s="20"/>
      <c r="B995" s="20"/>
      <c r="C995" s="21"/>
      <c r="D995" s="21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</row>
    <row r="996" spans="1:24" ht="15.75" customHeight="1" x14ac:dyDescent="0.2">
      <c r="A996" s="20"/>
      <c r="B996" s="20"/>
      <c r="C996" s="21"/>
      <c r="D996" s="21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</row>
    <row r="997" spans="1:24" ht="15.75" customHeight="1" x14ac:dyDescent="0.2">
      <c r="A997" s="20"/>
      <c r="B997" s="20"/>
      <c r="C997" s="21"/>
      <c r="D997" s="21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</row>
    <row r="998" spans="1:24" ht="15.75" customHeight="1" x14ac:dyDescent="0.2">
      <c r="A998" s="20"/>
      <c r="B998" s="20"/>
      <c r="C998" s="21"/>
      <c r="D998" s="21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</row>
    <row r="999" spans="1:24" ht="15.75" customHeight="1" x14ac:dyDescent="0.2">
      <c r="A999" s="20"/>
      <c r="B999" s="20"/>
      <c r="C999" s="21"/>
      <c r="D999" s="21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</row>
    <row r="1000" spans="1:24" ht="15.75" customHeight="1" x14ac:dyDescent="0.2">
      <c r="A1000" s="20"/>
      <c r="B1000" s="20"/>
      <c r="C1000" s="21"/>
      <c r="D1000" s="21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</row>
    <row r="1001" spans="1:24" ht="15.75" customHeight="1" x14ac:dyDescent="0.2">
      <c r="A1001" s="20"/>
      <c r="B1001" s="20"/>
      <c r="C1001" s="21"/>
      <c r="D1001" s="21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</row>
  </sheetData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1001"/>
  <sheetViews>
    <sheetView showGridLines="0" workbookViewId="0">
      <selection activeCell="B1" sqref="B1"/>
    </sheetView>
  </sheetViews>
  <sheetFormatPr defaultColWidth="11.21875" defaultRowHeight="15" customHeight="1" x14ac:dyDescent="0.2"/>
  <cols>
    <col min="1" max="1" width="7" style="34" customWidth="1"/>
    <col min="2" max="2" width="12.5546875" style="34" customWidth="1"/>
    <col min="3" max="3" width="17.33203125" style="34" customWidth="1"/>
    <col min="4" max="4" width="15.109375" style="34" customWidth="1"/>
    <col min="5" max="6" width="11.5546875" style="34" customWidth="1"/>
    <col min="7" max="7" width="14.33203125" style="34" customWidth="1"/>
    <col min="8" max="9" width="11.5546875" style="34" customWidth="1"/>
    <col min="10" max="10" width="12.44140625" style="34" customWidth="1"/>
    <col min="11" max="26" width="8.5546875" style="34" customWidth="1"/>
    <col min="27" max="16384" width="11.21875" style="34"/>
  </cols>
  <sheetData>
    <row r="1" spans="1:26" ht="26.25" customHeight="1" x14ac:dyDescent="0.2">
      <c r="A1" s="17"/>
      <c r="B1" s="68" t="s">
        <v>565</v>
      </c>
      <c r="C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2">
      <c r="A2" s="17"/>
      <c r="B2" s="17"/>
      <c r="C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 x14ac:dyDescent="0.2">
      <c r="A3" s="17"/>
      <c r="B3" s="38" t="s">
        <v>566</v>
      </c>
      <c r="C3" s="39" t="s">
        <v>12</v>
      </c>
      <c r="D3" s="40" t="s">
        <v>50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 x14ac:dyDescent="0.2">
      <c r="A4" s="17"/>
      <c r="B4" s="36" t="s">
        <v>567</v>
      </c>
      <c r="C4" s="35">
        <v>5117067.8219999997</v>
      </c>
      <c r="D4" s="37">
        <v>110709.7859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 x14ac:dyDescent="0.2">
      <c r="A5" s="17"/>
      <c r="B5" s="36" t="s">
        <v>568</v>
      </c>
      <c r="C5" s="35">
        <v>3682842.73</v>
      </c>
      <c r="D5" s="37">
        <v>507223.35849999997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 x14ac:dyDescent="0.2">
      <c r="A6" s="17"/>
      <c r="B6" s="36" t="s">
        <v>569</v>
      </c>
      <c r="C6" s="35">
        <v>5859151.6435000002</v>
      </c>
      <c r="D6" s="37">
        <v>868111.37569999998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customFormat="1" ht="18" customHeight="1" x14ac:dyDescent="0.25">
      <c r="B7" s="41" t="s">
        <v>9</v>
      </c>
      <c r="C7" s="42">
        <v>14659062.195499999</v>
      </c>
      <c r="D7" s="43">
        <v>1486044.5201000001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 x14ac:dyDescent="0.2"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2"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"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 x14ac:dyDescent="0.2"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 x14ac:dyDescent="0.2"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 x14ac:dyDescent="0.2"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 x14ac:dyDescent="0.2"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 x14ac:dyDescent="0.2"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 x14ac:dyDescent="0.2"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 x14ac:dyDescent="0.2"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 x14ac:dyDescent="0.2"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 x14ac:dyDescent="0.2"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"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"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"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"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spans="1:26" ht="15.75" customHeight="1" x14ac:dyDescent="0.2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</sheetData>
  <pageMargins left="0.25" right="0.25" top="0.75" bottom="0.75" header="0.3" footer="0.3"/>
  <pageSetup paperSize="5" orientation="landscape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33C0B"/>
    <pageSetUpPr fitToPage="1"/>
  </sheetPr>
  <dimension ref="A1:Z998"/>
  <sheetViews>
    <sheetView showGridLines="0" workbookViewId="0">
      <selection activeCell="B1" sqref="B1"/>
    </sheetView>
  </sheetViews>
  <sheetFormatPr defaultColWidth="11.21875" defaultRowHeight="15" customHeight="1" x14ac:dyDescent="0.2"/>
  <cols>
    <col min="1" max="1" width="5.44140625" customWidth="1"/>
    <col min="2" max="2" width="15.6640625" customWidth="1"/>
    <col min="3" max="6" width="14.109375" customWidth="1"/>
    <col min="7" max="7" width="4.33203125" customWidth="1"/>
    <col min="8" max="8" width="11.6640625" customWidth="1"/>
    <col min="9" max="9" width="9" customWidth="1"/>
    <col min="10" max="10" width="9.21875" customWidth="1"/>
    <col min="11" max="11" width="11.6640625" customWidth="1"/>
    <col min="12" max="12" width="9" customWidth="1"/>
    <col min="13" max="13" width="9.21875" customWidth="1"/>
    <col min="14" max="14" width="11.6640625" customWidth="1"/>
    <col min="15" max="15" width="9" customWidth="1"/>
    <col min="16" max="16" width="9.21875" customWidth="1"/>
    <col min="17" max="17" width="16.109375" customWidth="1"/>
    <col min="18" max="18" width="9" customWidth="1"/>
    <col min="19" max="19" width="9.21875" customWidth="1"/>
    <col min="20" max="20" width="11.6640625" customWidth="1"/>
    <col min="21" max="21" width="9" customWidth="1"/>
    <col min="22" max="22" width="9.21875" customWidth="1"/>
    <col min="23" max="23" width="11.6640625" customWidth="1"/>
    <col min="24" max="24" width="9" customWidth="1"/>
    <col min="25" max="25" width="9.21875" customWidth="1"/>
    <col min="26" max="26" width="10.21875" customWidth="1"/>
  </cols>
  <sheetData>
    <row r="1" spans="1:26" ht="24" customHeight="1" x14ac:dyDescent="0.25">
      <c r="A1" s="1"/>
      <c r="B1" s="68" t="s">
        <v>570</v>
      </c>
      <c r="C1" s="20"/>
      <c r="D1" s="20"/>
      <c r="E1" s="20"/>
      <c r="F1" s="22"/>
      <c r="G1" s="22"/>
    </row>
    <row r="2" spans="1:26" ht="15.75" customHeight="1" x14ac:dyDescent="0.25">
      <c r="A2" s="1"/>
      <c r="B2" s="20"/>
      <c r="C2" s="20"/>
      <c r="D2" s="20"/>
      <c r="E2" s="20"/>
      <c r="F2" s="20"/>
      <c r="G2" s="22"/>
    </row>
    <row r="3" spans="1:26" ht="38.25" customHeight="1" x14ac:dyDescent="0.25">
      <c r="A3" s="1"/>
      <c r="B3" s="44" t="s">
        <v>11</v>
      </c>
      <c r="C3" s="44" t="s">
        <v>571</v>
      </c>
      <c r="D3" s="44" t="s">
        <v>572</v>
      </c>
      <c r="E3" s="44" t="s">
        <v>573</v>
      </c>
      <c r="F3" s="44" t="s">
        <v>9</v>
      </c>
      <c r="G3" s="2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25" t="s">
        <v>20</v>
      </c>
      <c r="C4" s="45">
        <v>1286.03</v>
      </c>
      <c r="D4" s="45">
        <v>104.62</v>
      </c>
      <c r="E4" s="45">
        <v>981.14</v>
      </c>
      <c r="F4" s="45">
        <v>2371.79</v>
      </c>
      <c r="G4" s="2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25" t="s">
        <v>19</v>
      </c>
      <c r="C5" s="45">
        <v>1783.67</v>
      </c>
      <c r="D5" s="45">
        <v>280.85000000000002</v>
      </c>
      <c r="E5" s="45">
        <v>2000.59</v>
      </c>
      <c r="F5" s="45">
        <v>4065.11</v>
      </c>
      <c r="G5" s="2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25" t="s">
        <v>18</v>
      </c>
      <c r="C6" s="45">
        <v>4169.8599999999997</v>
      </c>
      <c r="D6" s="45">
        <v>523.03</v>
      </c>
      <c r="E6" s="45">
        <v>3874.58</v>
      </c>
      <c r="F6" s="45">
        <v>8567.4699999999993</v>
      </c>
      <c r="G6" s="2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25" t="s">
        <v>17</v>
      </c>
      <c r="C7" s="45">
        <v>5495.21</v>
      </c>
      <c r="D7" s="45">
        <v>719.69</v>
      </c>
      <c r="E7" s="45">
        <v>4742.91</v>
      </c>
      <c r="F7" s="45">
        <v>10957.81</v>
      </c>
      <c r="G7" s="2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25" t="s">
        <v>16</v>
      </c>
      <c r="C8" s="45">
        <v>7691.4</v>
      </c>
      <c r="D8" s="45">
        <v>1181.98</v>
      </c>
      <c r="E8" s="45">
        <v>7470.64</v>
      </c>
      <c r="F8" s="45">
        <v>16344.02</v>
      </c>
      <c r="G8" s="2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25" t="s">
        <v>15</v>
      </c>
      <c r="C9" s="45">
        <v>8832.83</v>
      </c>
      <c r="D9" s="45">
        <v>1347.27</v>
      </c>
      <c r="E9" s="45">
        <v>9246.58</v>
      </c>
      <c r="F9" s="45">
        <v>19426.68</v>
      </c>
      <c r="G9" s="2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B10" s="25" t="s">
        <v>14</v>
      </c>
      <c r="C10" s="45">
        <v>9617.3700000000008</v>
      </c>
      <c r="D10" s="45">
        <v>1573.03</v>
      </c>
      <c r="E10" s="45">
        <v>8900.65</v>
      </c>
      <c r="F10" s="45">
        <v>20091.05</v>
      </c>
      <c r="G10" s="2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B11" s="25" t="s">
        <v>13</v>
      </c>
      <c r="C11" s="45">
        <v>12600.03</v>
      </c>
      <c r="D11" s="45">
        <v>1984.53</v>
      </c>
      <c r="E11" s="45">
        <v>9889.43</v>
      </c>
      <c r="F11" s="45">
        <v>24473.99</v>
      </c>
      <c r="G11" s="2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B12" s="46" t="s">
        <v>9</v>
      </c>
      <c r="C12" s="47">
        <v>51476.4</v>
      </c>
      <c r="D12" s="47">
        <v>7715</v>
      </c>
      <c r="E12" s="47">
        <v>47106.52</v>
      </c>
      <c r="F12" s="47">
        <v>106297.92</v>
      </c>
      <c r="G12" s="2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B13" s="22"/>
      <c r="C13" s="22"/>
      <c r="D13" s="22"/>
      <c r="E13" s="22"/>
      <c r="F13" s="22"/>
      <c r="G13" s="2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pageMargins left="1" right="1" top="1" bottom="1" header="0.5" footer="0.5"/>
  <pageSetup paperSize="3" orientation="landscape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0070C0"/>
    <pageSetUpPr fitToPage="1"/>
  </sheetPr>
  <dimension ref="A1:Z998"/>
  <sheetViews>
    <sheetView showGridLines="0" workbookViewId="0">
      <selection activeCell="B1" sqref="B1"/>
    </sheetView>
  </sheetViews>
  <sheetFormatPr defaultColWidth="11.21875" defaultRowHeight="15" customHeight="1" x14ac:dyDescent="0.2"/>
  <cols>
    <col min="1" max="1" width="6.5546875" customWidth="1"/>
    <col min="2" max="2" width="24.109375" customWidth="1"/>
    <col min="3" max="3" width="11.5546875" customWidth="1"/>
    <col min="4" max="4" width="15.5546875" customWidth="1"/>
    <col min="5" max="5" width="16.21875" customWidth="1"/>
    <col min="6" max="6" width="12.44140625" customWidth="1"/>
    <col min="7" max="7" width="18.109375" customWidth="1"/>
    <col min="8" max="9" width="11.5546875" customWidth="1"/>
    <col min="10" max="10" width="12.44140625" customWidth="1"/>
    <col min="11" max="26" width="8.5546875" customWidth="1"/>
  </cols>
  <sheetData>
    <row r="1" spans="1:26" ht="20.25" customHeight="1" x14ac:dyDescent="0.25">
      <c r="A1" s="20"/>
      <c r="B1" s="68" t="s">
        <v>574</v>
      </c>
      <c r="C1" s="20"/>
      <c r="D1" s="20"/>
      <c r="E1" s="20"/>
      <c r="F1" s="20"/>
      <c r="G1" s="2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0"/>
      <c r="B2" s="20"/>
      <c r="C2" s="20"/>
      <c r="D2" s="20"/>
      <c r="E2" s="20"/>
      <c r="F2" s="20"/>
      <c r="G2" s="2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0"/>
      <c r="B3" s="48" t="s">
        <v>575</v>
      </c>
      <c r="C3" s="48" t="s">
        <v>576</v>
      </c>
      <c r="D3" s="48" t="s">
        <v>577</v>
      </c>
      <c r="E3" s="48" t="s">
        <v>578</v>
      </c>
      <c r="F3" s="48" t="s">
        <v>579</v>
      </c>
      <c r="G3" s="48" t="s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20"/>
      <c r="B4" s="25" t="s">
        <v>580</v>
      </c>
      <c r="C4" s="27">
        <v>886239.29350000003</v>
      </c>
      <c r="D4" s="27">
        <v>1912978.6359999999</v>
      </c>
      <c r="E4" s="27">
        <v>1205204.398</v>
      </c>
      <c r="F4" s="27">
        <v>962503.875</v>
      </c>
      <c r="G4" s="49">
        <v>4966926.2024999997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20"/>
      <c r="B5" s="25" t="s">
        <v>581</v>
      </c>
      <c r="C5" s="27">
        <v>676550.25800000003</v>
      </c>
      <c r="D5" s="27">
        <v>1323933.23</v>
      </c>
      <c r="E5" s="27">
        <v>711409.15</v>
      </c>
      <c r="F5" s="27">
        <v>655952.26599999995</v>
      </c>
      <c r="G5" s="49">
        <v>3367844.9040000001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20"/>
      <c r="B6" s="25" t="s">
        <v>582</v>
      </c>
      <c r="C6" s="27">
        <v>603727.69999999995</v>
      </c>
      <c r="D6" s="27">
        <v>1012560.536</v>
      </c>
      <c r="E6" s="27">
        <v>647717.74399999995</v>
      </c>
      <c r="F6" s="27">
        <v>516711.38400000002</v>
      </c>
      <c r="G6" s="49">
        <v>2780717.3640000001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20"/>
      <c r="B7" s="25" t="s">
        <v>583</v>
      </c>
      <c r="C7" s="27">
        <v>530856.826</v>
      </c>
      <c r="D7" s="27">
        <v>612236.65800000005</v>
      </c>
      <c r="E7" s="27">
        <v>528898.72400000005</v>
      </c>
      <c r="F7" s="27">
        <v>371937.35600000003</v>
      </c>
      <c r="G7" s="49">
        <v>2043929.564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20"/>
      <c r="B8" s="25" t="s">
        <v>584</v>
      </c>
      <c r="C8" s="27">
        <v>163292.60200000001</v>
      </c>
      <c r="D8" s="27">
        <v>239367.117</v>
      </c>
      <c r="E8" s="27">
        <v>180728.5275</v>
      </c>
      <c r="F8" s="27">
        <v>103793.6275</v>
      </c>
      <c r="G8" s="49">
        <v>687181.87399999995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2"/>
      <c r="B9" s="25" t="s">
        <v>585</v>
      </c>
      <c r="C9" s="27">
        <v>103391.037</v>
      </c>
      <c r="D9" s="27">
        <v>206174.48149999999</v>
      </c>
      <c r="E9" s="27">
        <v>127760.01549999999</v>
      </c>
      <c r="F9" s="27">
        <v>103552.3285</v>
      </c>
      <c r="G9" s="49">
        <v>540877.86250000005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2"/>
      <c r="B10" s="25" t="s">
        <v>586</v>
      </c>
      <c r="C10" s="27">
        <v>54315.957499999997</v>
      </c>
      <c r="D10" s="27">
        <v>102665.3955</v>
      </c>
      <c r="E10" s="27">
        <v>65573.238500000007</v>
      </c>
      <c r="F10" s="27">
        <v>49029.832999999999</v>
      </c>
      <c r="G10" s="49">
        <v>271584.42450000002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hidden="1" customHeight="1" x14ac:dyDescent="0.25">
      <c r="B11" s="5" t="s">
        <v>9</v>
      </c>
      <c r="C11" s="6">
        <v>3018373.6740000001</v>
      </c>
      <c r="D11" s="6">
        <v>5409916.0539999995</v>
      </c>
      <c r="E11" s="6">
        <v>3467291.7974999999</v>
      </c>
      <c r="F11" s="6">
        <v>2763480.67</v>
      </c>
      <c r="G11" s="6">
        <v>14659062.195499999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autoFilter ref="B3:G11" xr:uid="{00000000-0009-0000-0000-000007000000}">
    <filterColumn colId="0">
      <filters>
        <filter val="Direct Mail"/>
        <filter val="Direct Sales"/>
        <filter val="Email Marketing"/>
        <filter val="Google Adwords"/>
        <filter val="SEO"/>
        <filter val="Social Media"/>
        <filter val="Tradeshows and Events"/>
      </filters>
    </filterColumn>
  </autoFilter>
  <pageMargins left="0.25" right="0.25" top="0.75" bottom="0.75" header="0.3" footer="0.3"/>
  <pageSetup scale="9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Z1001"/>
  <sheetViews>
    <sheetView showGridLines="0" workbookViewId="0">
      <selection activeCell="B1" sqref="B1"/>
    </sheetView>
  </sheetViews>
  <sheetFormatPr defaultColWidth="11.21875" defaultRowHeight="15" customHeight="1" x14ac:dyDescent="0.2"/>
  <cols>
    <col min="1" max="1" width="2.88671875" style="22" customWidth="1"/>
    <col min="2" max="2" width="18.21875" style="22" customWidth="1"/>
    <col min="3" max="3" width="14.33203125" style="22" customWidth="1"/>
    <col min="4" max="4" width="10.44140625" style="22" customWidth="1"/>
    <col min="5" max="5" width="11.88671875" style="22" customWidth="1"/>
    <col min="6" max="6" width="11.5546875" style="22" customWidth="1"/>
    <col min="7" max="7" width="14.33203125" style="22" customWidth="1"/>
    <col min="8" max="9" width="11.5546875" style="22" customWidth="1"/>
    <col min="10" max="10" width="12.44140625" style="22" customWidth="1"/>
    <col min="11" max="26" width="8.5546875" style="22" customWidth="1"/>
    <col min="27" max="16384" width="11.21875" style="22"/>
  </cols>
  <sheetData>
    <row r="1" spans="1:26" ht="21" customHeight="1" x14ac:dyDescent="0.2">
      <c r="A1" s="20"/>
      <c r="B1" s="68" t="s">
        <v>587</v>
      </c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24" customHeight="1" x14ac:dyDescent="0.2">
      <c r="A2" s="20"/>
      <c r="B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 x14ac:dyDescent="0.2">
      <c r="A3" s="20"/>
      <c r="B3" s="20" t="s">
        <v>593</v>
      </c>
      <c r="C3" s="20" t="s">
        <v>50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2">
      <c r="A4" s="20"/>
      <c r="B4" s="25" t="s">
        <v>580</v>
      </c>
      <c r="C4" s="50">
        <v>902580.52870000002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 x14ac:dyDescent="0.2">
      <c r="A5" s="20"/>
      <c r="B5" s="25" t="s">
        <v>581</v>
      </c>
      <c r="C5" s="27">
        <v>346827.11450000003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 x14ac:dyDescent="0.2">
      <c r="A6" s="20"/>
      <c r="B6" s="25" t="s">
        <v>583</v>
      </c>
      <c r="C6" s="27">
        <v>105641.5355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customHeight="1" x14ac:dyDescent="0.2">
      <c r="A7" s="20"/>
      <c r="B7" s="25" t="s">
        <v>584</v>
      </c>
      <c r="C7" s="27">
        <v>99619.167100000006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 x14ac:dyDescent="0.2">
      <c r="A8" s="20"/>
      <c r="B8" s="25" t="s">
        <v>585</v>
      </c>
      <c r="C8" s="27">
        <v>88070.01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 x14ac:dyDescent="0.2">
      <c r="A9" s="20"/>
      <c r="B9" s="25" t="s">
        <v>586</v>
      </c>
      <c r="C9" s="27">
        <v>26929.313999999998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2">
      <c r="A10" s="20"/>
      <c r="B10" s="25" t="s">
        <v>582</v>
      </c>
      <c r="C10" s="51">
        <v>-83623.149699999994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.75" hidden="1" customHeight="1" x14ac:dyDescent="0.2">
      <c r="B11" s="46" t="s">
        <v>9</v>
      </c>
      <c r="C11" s="21">
        <v>1486044.5201000001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 x14ac:dyDescent="0.2"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2"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2"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2"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2"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2"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2"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2"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2"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2"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2"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2"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2"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2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2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2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2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2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2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2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2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2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2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2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2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 x14ac:dyDescent="0.2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 x14ac:dyDescent="0.2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 x14ac:dyDescent="0.2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 x14ac:dyDescent="0.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 x14ac:dyDescent="0.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 x14ac:dyDescent="0.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 x14ac:dyDescent="0.2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2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2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2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2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2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 x14ac:dyDescent="0.2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 x14ac:dyDescent="0.2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2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2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2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2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2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2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2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2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2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2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2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2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2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2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2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2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2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2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2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2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2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2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2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2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2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2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2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2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2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2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2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2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2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2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2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2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2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2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2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2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2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2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2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2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2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2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2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2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2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2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2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2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2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2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2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2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2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2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2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2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2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2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2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2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2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2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2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2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2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2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2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2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2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2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2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2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2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2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2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2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2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2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2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2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2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2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2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2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2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2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2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2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2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2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2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2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2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2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2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 x14ac:dyDescent="0.2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 x14ac:dyDescent="0.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 x14ac:dyDescent="0.2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 x14ac:dyDescent="0.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 x14ac:dyDescent="0.2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 x14ac:dyDescent="0.2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 x14ac:dyDescent="0.2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 x14ac:dyDescent="0.2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 x14ac:dyDescent="0.2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 x14ac:dyDescent="0.2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 x14ac:dyDescent="0.2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 x14ac:dyDescent="0.2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 x14ac:dyDescent="0.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 x14ac:dyDescent="0.2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 x14ac:dyDescent="0.2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 x14ac:dyDescent="0.2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 x14ac:dyDescent="0.2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 x14ac:dyDescent="0.2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 x14ac:dyDescent="0.2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 x14ac:dyDescent="0.2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 x14ac:dyDescent="0.2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 x14ac:dyDescent="0.2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 x14ac:dyDescent="0.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 x14ac:dyDescent="0.2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 x14ac:dyDescent="0.2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 x14ac:dyDescent="0.2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 x14ac:dyDescent="0.2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 x14ac:dyDescent="0.2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 x14ac:dyDescent="0.2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 x14ac:dyDescent="0.2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 x14ac:dyDescent="0.2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 x14ac:dyDescent="0.2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 x14ac:dyDescent="0.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 x14ac:dyDescent="0.2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 x14ac:dyDescent="0.2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 x14ac:dyDescent="0.2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 x14ac:dyDescent="0.2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 x14ac:dyDescent="0.2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 x14ac:dyDescent="0.2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 x14ac:dyDescent="0.2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 x14ac:dyDescent="0.2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 x14ac:dyDescent="0.2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 x14ac:dyDescent="0.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 x14ac:dyDescent="0.2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 x14ac:dyDescent="0.2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 x14ac:dyDescent="0.2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 x14ac:dyDescent="0.2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 x14ac:dyDescent="0.2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 x14ac:dyDescent="0.2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 x14ac:dyDescent="0.2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 x14ac:dyDescent="0.2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 x14ac:dyDescent="0.2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 x14ac:dyDescent="0.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 x14ac:dyDescent="0.2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 x14ac:dyDescent="0.2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 x14ac:dyDescent="0.2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 x14ac:dyDescent="0.2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 x14ac:dyDescent="0.2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 x14ac:dyDescent="0.2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 x14ac:dyDescent="0.2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 x14ac:dyDescent="0.2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 x14ac:dyDescent="0.2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 x14ac:dyDescent="0.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 x14ac:dyDescent="0.2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 x14ac:dyDescent="0.2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 x14ac:dyDescent="0.2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 x14ac:dyDescent="0.2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 x14ac:dyDescent="0.2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 x14ac:dyDescent="0.2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 x14ac:dyDescent="0.2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 x14ac:dyDescent="0.2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 x14ac:dyDescent="0.2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 x14ac:dyDescent="0.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 x14ac:dyDescent="0.2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 x14ac:dyDescent="0.2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 x14ac:dyDescent="0.2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 x14ac:dyDescent="0.2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 x14ac:dyDescent="0.2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 x14ac:dyDescent="0.2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 x14ac:dyDescent="0.2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 x14ac:dyDescent="0.2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 x14ac:dyDescent="0.2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 x14ac:dyDescent="0.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 x14ac:dyDescent="0.2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 x14ac:dyDescent="0.2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 x14ac:dyDescent="0.2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 x14ac:dyDescent="0.2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 x14ac:dyDescent="0.2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 x14ac:dyDescent="0.2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 x14ac:dyDescent="0.2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 x14ac:dyDescent="0.2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 x14ac:dyDescent="0.2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 x14ac:dyDescent="0.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 x14ac:dyDescent="0.2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 x14ac:dyDescent="0.2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 x14ac:dyDescent="0.2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 x14ac:dyDescent="0.2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 x14ac:dyDescent="0.2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 x14ac:dyDescent="0.2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 x14ac:dyDescent="0.2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 x14ac:dyDescent="0.2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 x14ac:dyDescent="0.2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 x14ac:dyDescent="0.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 x14ac:dyDescent="0.2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 x14ac:dyDescent="0.2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 x14ac:dyDescent="0.2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 x14ac:dyDescent="0.2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 x14ac:dyDescent="0.2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 x14ac:dyDescent="0.2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 x14ac:dyDescent="0.2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 x14ac:dyDescent="0.2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 x14ac:dyDescent="0.2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 x14ac:dyDescent="0.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 x14ac:dyDescent="0.2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 x14ac:dyDescent="0.2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 x14ac:dyDescent="0.2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 x14ac:dyDescent="0.2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 x14ac:dyDescent="0.2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 x14ac:dyDescent="0.2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 x14ac:dyDescent="0.2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 x14ac:dyDescent="0.2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 x14ac:dyDescent="0.2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 x14ac:dyDescent="0.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 x14ac:dyDescent="0.2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 x14ac:dyDescent="0.2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 x14ac:dyDescent="0.2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 x14ac:dyDescent="0.2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 x14ac:dyDescent="0.2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 x14ac:dyDescent="0.2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 x14ac:dyDescent="0.2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 x14ac:dyDescent="0.2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 x14ac:dyDescent="0.2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 x14ac:dyDescent="0.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 x14ac:dyDescent="0.2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 x14ac:dyDescent="0.2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 x14ac:dyDescent="0.2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 x14ac:dyDescent="0.2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 x14ac:dyDescent="0.2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 x14ac:dyDescent="0.2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 x14ac:dyDescent="0.2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 x14ac:dyDescent="0.2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 x14ac:dyDescent="0.2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 x14ac:dyDescent="0.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 x14ac:dyDescent="0.2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 x14ac:dyDescent="0.2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 x14ac:dyDescent="0.2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 x14ac:dyDescent="0.2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 x14ac:dyDescent="0.2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 x14ac:dyDescent="0.2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 x14ac:dyDescent="0.2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 x14ac:dyDescent="0.2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 x14ac:dyDescent="0.2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 x14ac:dyDescent="0.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 x14ac:dyDescent="0.2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 x14ac:dyDescent="0.2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 x14ac:dyDescent="0.2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 x14ac:dyDescent="0.2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 x14ac:dyDescent="0.2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 x14ac:dyDescent="0.2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 x14ac:dyDescent="0.2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 x14ac:dyDescent="0.2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 x14ac:dyDescent="0.2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 x14ac:dyDescent="0.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 x14ac:dyDescent="0.2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 x14ac:dyDescent="0.2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 x14ac:dyDescent="0.2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 x14ac:dyDescent="0.2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 x14ac:dyDescent="0.2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 x14ac:dyDescent="0.2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 x14ac:dyDescent="0.2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 x14ac:dyDescent="0.2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 x14ac:dyDescent="0.2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 x14ac:dyDescent="0.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 x14ac:dyDescent="0.2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 x14ac:dyDescent="0.2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 x14ac:dyDescent="0.2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 x14ac:dyDescent="0.2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 x14ac:dyDescent="0.2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 x14ac:dyDescent="0.2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 x14ac:dyDescent="0.2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 x14ac:dyDescent="0.2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 x14ac:dyDescent="0.2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 x14ac:dyDescent="0.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 x14ac:dyDescent="0.2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 x14ac:dyDescent="0.2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 x14ac:dyDescent="0.2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 x14ac:dyDescent="0.2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 x14ac:dyDescent="0.2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 x14ac:dyDescent="0.2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 x14ac:dyDescent="0.2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 x14ac:dyDescent="0.2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 x14ac:dyDescent="0.2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 x14ac:dyDescent="0.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 x14ac:dyDescent="0.2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 x14ac:dyDescent="0.2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 x14ac:dyDescent="0.2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 x14ac:dyDescent="0.2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 x14ac:dyDescent="0.2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 x14ac:dyDescent="0.2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 x14ac:dyDescent="0.2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 x14ac:dyDescent="0.2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 x14ac:dyDescent="0.2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 x14ac:dyDescent="0.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 x14ac:dyDescent="0.2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 x14ac:dyDescent="0.2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 x14ac:dyDescent="0.2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 x14ac:dyDescent="0.2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 x14ac:dyDescent="0.2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 x14ac:dyDescent="0.2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 x14ac:dyDescent="0.2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 x14ac:dyDescent="0.2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 x14ac:dyDescent="0.2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 x14ac:dyDescent="0.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 x14ac:dyDescent="0.2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 x14ac:dyDescent="0.2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 x14ac:dyDescent="0.2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 x14ac:dyDescent="0.2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 x14ac:dyDescent="0.2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 x14ac:dyDescent="0.2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 x14ac:dyDescent="0.2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 x14ac:dyDescent="0.2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 x14ac:dyDescent="0.2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 x14ac:dyDescent="0.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 x14ac:dyDescent="0.2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 x14ac:dyDescent="0.2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 x14ac:dyDescent="0.2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 x14ac:dyDescent="0.2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 x14ac:dyDescent="0.2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 x14ac:dyDescent="0.2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 x14ac:dyDescent="0.2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 x14ac:dyDescent="0.2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 x14ac:dyDescent="0.2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 x14ac:dyDescent="0.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 x14ac:dyDescent="0.2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 x14ac:dyDescent="0.2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 x14ac:dyDescent="0.2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 x14ac:dyDescent="0.2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 x14ac:dyDescent="0.2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 x14ac:dyDescent="0.2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 x14ac:dyDescent="0.2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 x14ac:dyDescent="0.2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 x14ac:dyDescent="0.2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 x14ac:dyDescent="0.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 x14ac:dyDescent="0.2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 x14ac:dyDescent="0.2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 x14ac:dyDescent="0.2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 x14ac:dyDescent="0.2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 x14ac:dyDescent="0.2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 x14ac:dyDescent="0.2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 x14ac:dyDescent="0.2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 x14ac:dyDescent="0.2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 x14ac:dyDescent="0.2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 x14ac:dyDescent="0.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 x14ac:dyDescent="0.2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 x14ac:dyDescent="0.2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 x14ac:dyDescent="0.2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 x14ac:dyDescent="0.2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 x14ac:dyDescent="0.2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 x14ac:dyDescent="0.2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 x14ac:dyDescent="0.2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 x14ac:dyDescent="0.2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 x14ac:dyDescent="0.2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 x14ac:dyDescent="0.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 x14ac:dyDescent="0.2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 x14ac:dyDescent="0.2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 x14ac:dyDescent="0.2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 x14ac:dyDescent="0.2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 x14ac:dyDescent="0.2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 x14ac:dyDescent="0.2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 x14ac:dyDescent="0.2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 x14ac:dyDescent="0.2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 x14ac:dyDescent="0.2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 x14ac:dyDescent="0.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 x14ac:dyDescent="0.2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 x14ac:dyDescent="0.2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 x14ac:dyDescent="0.2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 x14ac:dyDescent="0.2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 x14ac:dyDescent="0.2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 x14ac:dyDescent="0.2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 x14ac:dyDescent="0.2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 x14ac:dyDescent="0.2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 x14ac:dyDescent="0.2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 x14ac:dyDescent="0.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 x14ac:dyDescent="0.2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 x14ac:dyDescent="0.2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 x14ac:dyDescent="0.2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 x14ac:dyDescent="0.2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 x14ac:dyDescent="0.2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 x14ac:dyDescent="0.2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 x14ac:dyDescent="0.2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 x14ac:dyDescent="0.2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 x14ac:dyDescent="0.2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 x14ac:dyDescent="0.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 x14ac:dyDescent="0.2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 x14ac:dyDescent="0.2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 x14ac:dyDescent="0.2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 x14ac:dyDescent="0.2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 x14ac:dyDescent="0.2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 x14ac:dyDescent="0.2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 x14ac:dyDescent="0.2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 x14ac:dyDescent="0.2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 x14ac:dyDescent="0.2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 x14ac:dyDescent="0.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 x14ac:dyDescent="0.2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 x14ac:dyDescent="0.2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 x14ac:dyDescent="0.2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 x14ac:dyDescent="0.2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 x14ac:dyDescent="0.2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 x14ac:dyDescent="0.2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 x14ac:dyDescent="0.2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 x14ac:dyDescent="0.2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 x14ac:dyDescent="0.2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 x14ac:dyDescent="0.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 x14ac:dyDescent="0.2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 x14ac:dyDescent="0.2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 x14ac:dyDescent="0.2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 x14ac:dyDescent="0.2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 x14ac:dyDescent="0.2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 x14ac:dyDescent="0.2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 x14ac:dyDescent="0.2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 x14ac:dyDescent="0.2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 x14ac:dyDescent="0.2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 x14ac:dyDescent="0.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 x14ac:dyDescent="0.2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 x14ac:dyDescent="0.2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 x14ac:dyDescent="0.2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 x14ac:dyDescent="0.2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 x14ac:dyDescent="0.2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 x14ac:dyDescent="0.2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 x14ac:dyDescent="0.2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 x14ac:dyDescent="0.2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 x14ac:dyDescent="0.2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 x14ac:dyDescent="0.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 x14ac:dyDescent="0.2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 x14ac:dyDescent="0.2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 x14ac:dyDescent="0.2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 x14ac:dyDescent="0.2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 x14ac:dyDescent="0.2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 x14ac:dyDescent="0.2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 x14ac:dyDescent="0.2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 x14ac:dyDescent="0.2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 x14ac:dyDescent="0.2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 x14ac:dyDescent="0.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 x14ac:dyDescent="0.2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 x14ac:dyDescent="0.2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 x14ac:dyDescent="0.2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 x14ac:dyDescent="0.2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 x14ac:dyDescent="0.2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 x14ac:dyDescent="0.2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 x14ac:dyDescent="0.2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 x14ac:dyDescent="0.2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 x14ac:dyDescent="0.2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 x14ac:dyDescent="0.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 x14ac:dyDescent="0.2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 x14ac:dyDescent="0.2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 x14ac:dyDescent="0.2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 x14ac:dyDescent="0.2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 x14ac:dyDescent="0.2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 x14ac:dyDescent="0.2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 x14ac:dyDescent="0.2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 x14ac:dyDescent="0.2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 x14ac:dyDescent="0.2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 x14ac:dyDescent="0.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 x14ac:dyDescent="0.2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 x14ac:dyDescent="0.2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 x14ac:dyDescent="0.2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 x14ac:dyDescent="0.2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 x14ac:dyDescent="0.2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 x14ac:dyDescent="0.2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 x14ac:dyDescent="0.2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 x14ac:dyDescent="0.2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 x14ac:dyDescent="0.2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 x14ac:dyDescent="0.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 x14ac:dyDescent="0.2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 x14ac:dyDescent="0.2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 x14ac:dyDescent="0.2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 x14ac:dyDescent="0.2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 x14ac:dyDescent="0.2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 x14ac:dyDescent="0.2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 x14ac:dyDescent="0.2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 x14ac:dyDescent="0.2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 x14ac:dyDescent="0.2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 x14ac:dyDescent="0.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 x14ac:dyDescent="0.2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 x14ac:dyDescent="0.2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 x14ac:dyDescent="0.2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 x14ac:dyDescent="0.2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 x14ac:dyDescent="0.2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 x14ac:dyDescent="0.2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 x14ac:dyDescent="0.2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 x14ac:dyDescent="0.2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 x14ac:dyDescent="0.2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 x14ac:dyDescent="0.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 x14ac:dyDescent="0.2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 x14ac:dyDescent="0.2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 x14ac:dyDescent="0.2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 x14ac:dyDescent="0.2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 x14ac:dyDescent="0.2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 x14ac:dyDescent="0.2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 x14ac:dyDescent="0.2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 x14ac:dyDescent="0.2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 x14ac:dyDescent="0.2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 x14ac:dyDescent="0.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 x14ac:dyDescent="0.2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 x14ac:dyDescent="0.2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 x14ac:dyDescent="0.2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 x14ac:dyDescent="0.2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 x14ac:dyDescent="0.2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 x14ac:dyDescent="0.2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 x14ac:dyDescent="0.2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 x14ac:dyDescent="0.2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 x14ac:dyDescent="0.2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 x14ac:dyDescent="0.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 x14ac:dyDescent="0.2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 x14ac:dyDescent="0.2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 x14ac:dyDescent="0.2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 x14ac:dyDescent="0.2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 x14ac:dyDescent="0.2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 x14ac:dyDescent="0.2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 x14ac:dyDescent="0.2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 x14ac:dyDescent="0.2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 x14ac:dyDescent="0.2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 x14ac:dyDescent="0.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 x14ac:dyDescent="0.2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 x14ac:dyDescent="0.2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 x14ac:dyDescent="0.2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 x14ac:dyDescent="0.2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 x14ac:dyDescent="0.2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 x14ac:dyDescent="0.2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 x14ac:dyDescent="0.2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 x14ac:dyDescent="0.2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 x14ac:dyDescent="0.2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 x14ac:dyDescent="0.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 x14ac:dyDescent="0.2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 x14ac:dyDescent="0.2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 x14ac:dyDescent="0.2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 x14ac:dyDescent="0.2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 x14ac:dyDescent="0.2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 x14ac:dyDescent="0.2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 x14ac:dyDescent="0.2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 x14ac:dyDescent="0.2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 x14ac:dyDescent="0.2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 x14ac:dyDescent="0.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 x14ac:dyDescent="0.2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 x14ac:dyDescent="0.2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 x14ac:dyDescent="0.2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 x14ac:dyDescent="0.2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 x14ac:dyDescent="0.2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 x14ac:dyDescent="0.2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 x14ac:dyDescent="0.2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 x14ac:dyDescent="0.2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 x14ac:dyDescent="0.2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 x14ac:dyDescent="0.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 x14ac:dyDescent="0.2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 x14ac:dyDescent="0.2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 x14ac:dyDescent="0.2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 x14ac:dyDescent="0.2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 x14ac:dyDescent="0.2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 x14ac:dyDescent="0.2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 x14ac:dyDescent="0.2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 x14ac:dyDescent="0.2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 x14ac:dyDescent="0.2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 x14ac:dyDescent="0.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 x14ac:dyDescent="0.2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 x14ac:dyDescent="0.2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 x14ac:dyDescent="0.2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 x14ac:dyDescent="0.2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 x14ac:dyDescent="0.2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 x14ac:dyDescent="0.2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 x14ac:dyDescent="0.2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 x14ac:dyDescent="0.2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 x14ac:dyDescent="0.2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 x14ac:dyDescent="0.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 x14ac:dyDescent="0.2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 x14ac:dyDescent="0.2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 x14ac:dyDescent="0.2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 x14ac:dyDescent="0.2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 x14ac:dyDescent="0.2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 x14ac:dyDescent="0.2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 x14ac:dyDescent="0.2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 x14ac:dyDescent="0.2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 x14ac:dyDescent="0.2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 x14ac:dyDescent="0.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 x14ac:dyDescent="0.2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 x14ac:dyDescent="0.2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 x14ac:dyDescent="0.2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 x14ac:dyDescent="0.2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 x14ac:dyDescent="0.2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 x14ac:dyDescent="0.2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 x14ac:dyDescent="0.2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 x14ac:dyDescent="0.2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 x14ac:dyDescent="0.2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 x14ac:dyDescent="0.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 x14ac:dyDescent="0.2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 x14ac:dyDescent="0.2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 x14ac:dyDescent="0.2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 x14ac:dyDescent="0.2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 x14ac:dyDescent="0.2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 x14ac:dyDescent="0.2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 x14ac:dyDescent="0.2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 x14ac:dyDescent="0.2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 x14ac:dyDescent="0.2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 x14ac:dyDescent="0.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 x14ac:dyDescent="0.2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 x14ac:dyDescent="0.2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 x14ac:dyDescent="0.2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 x14ac:dyDescent="0.2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 x14ac:dyDescent="0.2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 x14ac:dyDescent="0.2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 x14ac:dyDescent="0.2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 x14ac:dyDescent="0.2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 x14ac:dyDescent="0.2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 x14ac:dyDescent="0.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 x14ac:dyDescent="0.2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 x14ac:dyDescent="0.2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 x14ac:dyDescent="0.2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 x14ac:dyDescent="0.2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 x14ac:dyDescent="0.2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 x14ac:dyDescent="0.2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 x14ac:dyDescent="0.2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 x14ac:dyDescent="0.2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 x14ac:dyDescent="0.2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 x14ac:dyDescent="0.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 x14ac:dyDescent="0.2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 x14ac:dyDescent="0.2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 x14ac:dyDescent="0.2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 x14ac:dyDescent="0.2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 x14ac:dyDescent="0.2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 x14ac:dyDescent="0.2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 x14ac:dyDescent="0.2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 x14ac:dyDescent="0.2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 x14ac:dyDescent="0.2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 x14ac:dyDescent="0.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 x14ac:dyDescent="0.2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 x14ac:dyDescent="0.2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 x14ac:dyDescent="0.2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 x14ac:dyDescent="0.2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 x14ac:dyDescent="0.2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 x14ac:dyDescent="0.2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 x14ac:dyDescent="0.2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 x14ac:dyDescent="0.2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 x14ac:dyDescent="0.2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 x14ac:dyDescent="0.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 x14ac:dyDescent="0.2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 x14ac:dyDescent="0.2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 x14ac:dyDescent="0.2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 x14ac:dyDescent="0.2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 x14ac:dyDescent="0.2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 x14ac:dyDescent="0.2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 x14ac:dyDescent="0.2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 x14ac:dyDescent="0.2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 x14ac:dyDescent="0.2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 x14ac:dyDescent="0.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 x14ac:dyDescent="0.2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 x14ac:dyDescent="0.2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 x14ac:dyDescent="0.2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 x14ac:dyDescent="0.2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 x14ac:dyDescent="0.2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 x14ac:dyDescent="0.2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 x14ac:dyDescent="0.2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 x14ac:dyDescent="0.2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 x14ac:dyDescent="0.2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 x14ac:dyDescent="0.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 x14ac:dyDescent="0.2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 x14ac:dyDescent="0.2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 x14ac:dyDescent="0.2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 x14ac:dyDescent="0.2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 x14ac:dyDescent="0.2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 x14ac:dyDescent="0.2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 x14ac:dyDescent="0.2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 x14ac:dyDescent="0.2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 x14ac:dyDescent="0.2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 x14ac:dyDescent="0.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 x14ac:dyDescent="0.2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 x14ac:dyDescent="0.2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 x14ac:dyDescent="0.2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 x14ac:dyDescent="0.2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 x14ac:dyDescent="0.2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 x14ac:dyDescent="0.2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 x14ac:dyDescent="0.2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 x14ac:dyDescent="0.2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 x14ac:dyDescent="0.2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 x14ac:dyDescent="0.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 x14ac:dyDescent="0.2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 x14ac:dyDescent="0.2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 x14ac:dyDescent="0.2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 x14ac:dyDescent="0.2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 x14ac:dyDescent="0.2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 x14ac:dyDescent="0.2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 x14ac:dyDescent="0.2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 x14ac:dyDescent="0.2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 x14ac:dyDescent="0.2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 x14ac:dyDescent="0.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 x14ac:dyDescent="0.2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 x14ac:dyDescent="0.2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 x14ac:dyDescent="0.2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 x14ac:dyDescent="0.2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 x14ac:dyDescent="0.2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 x14ac:dyDescent="0.2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 x14ac:dyDescent="0.2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 x14ac:dyDescent="0.2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 x14ac:dyDescent="0.2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 x14ac:dyDescent="0.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 x14ac:dyDescent="0.2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 x14ac:dyDescent="0.2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 x14ac:dyDescent="0.2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 x14ac:dyDescent="0.2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 x14ac:dyDescent="0.2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 x14ac:dyDescent="0.2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 x14ac:dyDescent="0.2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 x14ac:dyDescent="0.2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 x14ac:dyDescent="0.2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 x14ac:dyDescent="0.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 x14ac:dyDescent="0.2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 x14ac:dyDescent="0.2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 x14ac:dyDescent="0.2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 x14ac:dyDescent="0.2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 x14ac:dyDescent="0.2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 x14ac:dyDescent="0.2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 x14ac:dyDescent="0.2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 x14ac:dyDescent="0.2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 x14ac:dyDescent="0.2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 x14ac:dyDescent="0.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 x14ac:dyDescent="0.2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 x14ac:dyDescent="0.2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 x14ac:dyDescent="0.2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 x14ac:dyDescent="0.2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 x14ac:dyDescent="0.2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 x14ac:dyDescent="0.2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 x14ac:dyDescent="0.2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 x14ac:dyDescent="0.2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 x14ac:dyDescent="0.2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 x14ac:dyDescent="0.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 x14ac:dyDescent="0.2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 x14ac:dyDescent="0.2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 x14ac:dyDescent="0.2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 x14ac:dyDescent="0.2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 x14ac:dyDescent="0.2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 x14ac:dyDescent="0.2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 x14ac:dyDescent="0.2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 x14ac:dyDescent="0.2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 x14ac:dyDescent="0.2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 x14ac:dyDescent="0.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 x14ac:dyDescent="0.2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 x14ac:dyDescent="0.2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 x14ac:dyDescent="0.2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 x14ac:dyDescent="0.2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 x14ac:dyDescent="0.2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 x14ac:dyDescent="0.2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 x14ac:dyDescent="0.2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 x14ac:dyDescent="0.2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 x14ac:dyDescent="0.2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 x14ac:dyDescent="0.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 x14ac:dyDescent="0.2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 x14ac:dyDescent="0.2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 x14ac:dyDescent="0.2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 x14ac:dyDescent="0.2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 x14ac:dyDescent="0.2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 x14ac:dyDescent="0.2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 x14ac:dyDescent="0.2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 x14ac:dyDescent="0.2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 x14ac:dyDescent="0.2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 x14ac:dyDescent="0.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 x14ac:dyDescent="0.2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 x14ac:dyDescent="0.2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 x14ac:dyDescent="0.2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 x14ac:dyDescent="0.2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 x14ac:dyDescent="0.2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 x14ac:dyDescent="0.2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 x14ac:dyDescent="0.2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 x14ac:dyDescent="0.2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 x14ac:dyDescent="0.2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 x14ac:dyDescent="0.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 x14ac:dyDescent="0.2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 x14ac:dyDescent="0.2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 x14ac:dyDescent="0.2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 x14ac:dyDescent="0.2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 x14ac:dyDescent="0.2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 x14ac:dyDescent="0.2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 x14ac:dyDescent="0.2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 x14ac:dyDescent="0.2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 x14ac:dyDescent="0.2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 x14ac:dyDescent="0.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 x14ac:dyDescent="0.2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 x14ac:dyDescent="0.2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 x14ac:dyDescent="0.2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 x14ac:dyDescent="0.2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 x14ac:dyDescent="0.2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 x14ac:dyDescent="0.2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 x14ac:dyDescent="0.2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 x14ac:dyDescent="0.2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 x14ac:dyDescent="0.2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 x14ac:dyDescent="0.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 x14ac:dyDescent="0.2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 x14ac:dyDescent="0.2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 x14ac:dyDescent="0.2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 x14ac:dyDescent="0.2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 x14ac:dyDescent="0.2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 x14ac:dyDescent="0.2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 x14ac:dyDescent="0.2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 x14ac:dyDescent="0.2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 x14ac:dyDescent="0.2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 x14ac:dyDescent="0.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 x14ac:dyDescent="0.2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 x14ac:dyDescent="0.2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 x14ac:dyDescent="0.2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 x14ac:dyDescent="0.2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 x14ac:dyDescent="0.2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 x14ac:dyDescent="0.2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 x14ac:dyDescent="0.2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 x14ac:dyDescent="0.2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 x14ac:dyDescent="0.2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 x14ac:dyDescent="0.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 x14ac:dyDescent="0.2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 x14ac:dyDescent="0.2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 x14ac:dyDescent="0.2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 x14ac:dyDescent="0.2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 x14ac:dyDescent="0.2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 x14ac:dyDescent="0.2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 x14ac:dyDescent="0.2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 x14ac:dyDescent="0.2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 x14ac:dyDescent="0.2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 x14ac:dyDescent="0.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 x14ac:dyDescent="0.2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 x14ac:dyDescent="0.2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 x14ac:dyDescent="0.2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 x14ac:dyDescent="0.2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 x14ac:dyDescent="0.2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 x14ac:dyDescent="0.2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 x14ac:dyDescent="0.2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 x14ac:dyDescent="0.2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 x14ac:dyDescent="0.2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 x14ac:dyDescent="0.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 x14ac:dyDescent="0.2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 x14ac:dyDescent="0.2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 x14ac:dyDescent="0.2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 x14ac:dyDescent="0.2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 x14ac:dyDescent="0.2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 x14ac:dyDescent="0.2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 x14ac:dyDescent="0.2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 x14ac:dyDescent="0.2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 x14ac:dyDescent="0.2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 x14ac:dyDescent="0.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 x14ac:dyDescent="0.2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 x14ac:dyDescent="0.2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 x14ac:dyDescent="0.2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 x14ac:dyDescent="0.2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 x14ac:dyDescent="0.2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 x14ac:dyDescent="0.2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 x14ac:dyDescent="0.2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 x14ac:dyDescent="0.2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 x14ac:dyDescent="0.2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 x14ac:dyDescent="0.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 x14ac:dyDescent="0.2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 x14ac:dyDescent="0.2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 x14ac:dyDescent="0.2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 x14ac:dyDescent="0.2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 x14ac:dyDescent="0.2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 x14ac:dyDescent="0.2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 x14ac:dyDescent="0.2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 x14ac:dyDescent="0.2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 x14ac:dyDescent="0.2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 x14ac:dyDescent="0.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 x14ac:dyDescent="0.2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 x14ac:dyDescent="0.2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 x14ac:dyDescent="0.2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 x14ac:dyDescent="0.2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 x14ac:dyDescent="0.2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 x14ac:dyDescent="0.2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 x14ac:dyDescent="0.2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 x14ac:dyDescent="0.2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 x14ac:dyDescent="0.2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 x14ac:dyDescent="0.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 x14ac:dyDescent="0.2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 x14ac:dyDescent="0.2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 x14ac:dyDescent="0.2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 x14ac:dyDescent="0.2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 x14ac:dyDescent="0.2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 x14ac:dyDescent="0.2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 x14ac:dyDescent="0.2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 x14ac:dyDescent="0.2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spans="1:26" ht="15.75" customHeight="1" x14ac:dyDescent="0.2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</sheetData>
  <pageMargins left="0.25" right="0.25" top="0.75" bottom="0.75" header="0.3" footer="0.3"/>
  <pageSetup paperSize="3" orientation="landscape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  <pageSetUpPr fitToPage="1"/>
  </sheetPr>
  <dimension ref="A1:Z1001"/>
  <sheetViews>
    <sheetView showGridLines="0" workbookViewId="0">
      <selection activeCell="B1" sqref="B1"/>
    </sheetView>
  </sheetViews>
  <sheetFormatPr defaultColWidth="15.44140625" defaultRowHeight="15" customHeight="1" x14ac:dyDescent="0.2"/>
  <cols>
    <col min="1" max="1" width="4.77734375" style="34" customWidth="1"/>
    <col min="2" max="2" width="20.88671875" style="34" customWidth="1"/>
    <col min="3" max="16384" width="15.44140625" style="34"/>
  </cols>
  <sheetData>
    <row r="1" spans="1:26" ht="24" customHeight="1" x14ac:dyDescent="0.2">
      <c r="A1" s="17"/>
      <c r="B1" s="68" t="s">
        <v>588</v>
      </c>
      <c r="C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2.5" customHeight="1" x14ac:dyDescent="0.2">
      <c r="A2" s="17"/>
      <c r="B2" s="17"/>
      <c r="C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 x14ac:dyDescent="0.2">
      <c r="A3" s="17"/>
      <c r="B3" s="17" t="s">
        <v>594</v>
      </c>
      <c r="C3" s="17" t="s">
        <v>12</v>
      </c>
      <c r="D3" s="17" t="s">
        <v>589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 x14ac:dyDescent="0.2">
      <c r="A4" s="17"/>
      <c r="B4" s="55" t="s">
        <v>580</v>
      </c>
      <c r="C4" s="56">
        <v>959947.83750000002</v>
      </c>
      <c r="D4" s="56">
        <v>1008662.6248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 x14ac:dyDescent="0.2">
      <c r="A5" s="17"/>
      <c r="B5" s="55" t="s">
        <v>581</v>
      </c>
      <c r="C5" s="57">
        <v>760938.41200000001</v>
      </c>
      <c r="D5" s="57">
        <v>809228.64910000004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 x14ac:dyDescent="0.2">
      <c r="A6" s="17"/>
      <c r="B6" s="55" t="s">
        <v>582</v>
      </c>
      <c r="C6" s="56">
        <v>558471.03599999996</v>
      </c>
      <c r="D6" s="56">
        <v>533333.04280000005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 x14ac:dyDescent="0.2">
      <c r="A7" s="17"/>
      <c r="B7" s="55" t="s">
        <v>583</v>
      </c>
      <c r="C7" s="57">
        <v>449650.26199999999</v>
      </c>
      <c r="D7" s="57">
        <v>482235.18209999998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 x14ac:dyDescent="0.2">
      <c r="A8" s="17"/>
      <c r="B8" s="55" t="s">
        <v>584</v>
      </c>
      <c r="C8" s="57">
        <v>107205.853</v>
      </c>
      <c r="D8" s="57">
        <v>128224.7953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 x14ac:dyDescent="0.2">
      <c r="A9" s="17"/>
      <c r="B9" s="55" t="s">
        <v>585</v>
      </c>
      <c r="C9" s="57">
        <v>104307.095</v>
      </c>
      <c r="D9" s="57">
        <v>103990.37519999999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2">
      <c r="A10" s="17"/>
      <c r="B10" s="55" t="s">
        <v>586</v>
      </c>
      <c r="C10" s="57">
        <v>41283.353000000003</v>
      </c>
      <c r="D10" s="57">
        <v>41014.447200000002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customFormat="1" ht="15.75" customHeight="1" x14ac:dyDescent="0.25">
      <c r="B11" s="55" t="s">
        <v>9</v>
      </c>
      <c r="C11" s="57">
        <v>2981803.8484999998</v>
      </c>
      <c r="D11" s="57">
        <v>3106689.1165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 x14ac:dyDescent="0.2"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 x14ac:dyDescent="0.2"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 x14ac:dyDescent="0.2"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 x14ac:dyDescent="0.2"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7:26" ht="15.75" customHeight="1" x14ac:dyDescent="0.2"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7:26" ht="15.75" customHeight="1" x14ac:dyDescent="0.2"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7:26" ht="15.75" customHeight="1" x14ac:dyDescent="0.2"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7:26" ht="15.75" customHeight="1" x14ac:dyDescent="0.2"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7:26" ht="15.75" customHeight="1" x14ac:dyDescent="0.2"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7:26" ht="15.75" customHeight="1" x14ac:dyDescent="0.2"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7:26" ht="15.75" customHeight="1" x14ac:dyDescent="0.2"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7:26" ht="15.75" customHeight="1" x14ac:dyDescent="0.2"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7:26" ht="15.75" customHeight="1" x14ac:dyDescent="0.2"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7:26" ht="15.75" customHeight="1" x14ac:dyDescent="0.2"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7:26" ht="15.75" customHeight="1" x14ac:dyDescent="0.2"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7:26" ht="15.75" customHeight="1" x14ac:dyDescent="0.2"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7:26" ht="15.75" customHeight="1" x14ac:dyDescent="0.2"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7:26" ht="15.75" customHeight="1" x14ac:dyDescent="0.2"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7:26" ht="15.75" customHeight="1" x14ac:dyDescent="0.2"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7:26" ht="15.75" customHeight="1" x14ac:dyDescent="0.2"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7:26" ht="15.75" customHeight="1" x14ac:dyDescent="0.2"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7:26" ht="15.75" customHeight="1" x14ac:dyDescent="0.2"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7:26" ht="15.75" customHeight="1" x14ac:dyDescent="0.2"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7:26" ht="15.75" customHeight="1" x14ac:dyDescent="0.2"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7:26" ht="15.75" customHeight="1" x14ac:dyDescent="0.2"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7:26" ht="15.75" customHeight="1" x14ac:dyDescent="0.2"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7:26" ht="15.75" customHeight="1" x14ac:dyDescent="0.2"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7:26" ht="15.75" customHeight="1" x14ac:dyDescent="0.2"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7:26" ht="15.75" customHeight="1" x14ac:dyDescent="0.2"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7:26" ht="15.75" customHeight="1" x14ac:dyDescent="0.2"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7:26" ht="15.75" customHeight="1" x14ac:dyDescent="0.2"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7:26" ht="15.75" customHeight="1" x14ac:dyDescent="0.2"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7:26" ht="15.75" customHeight="1" x14ac:dyDescent="0.2"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7:26" ht="15.75" customHeight="1" x14ac:dyDescent="0.2"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7:26" ht="15.75" customHeight="1" x14ac:dyDescent="0.2"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7:26" ht="15.75" customHeight="1" x14ac:dyDescent="0.2"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7:26" ht="15.75" customHeight="1" x14ac:dyDescent="0.2"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7:26" ht="15.75" customHeight="1" x14ac:dyDescent="0.2"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7:26" ht="15.75" customHeight="1" x14ac:dyDescent="0.2"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7:26" ht="15.75" customHeight="1" x14ac:dyDescent="0.2"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7:26" ht="15.75" customHeight="1" x14ac:dyDescent="0.2"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7:26" ht="15.75" customHeight="1" x14ac:dyDescent="0.2"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7:26" ht="15.75" customHeight="1" x14ac:dyDescent="0.2"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7:26" ht="15.75" customHeight="1" x14ac:dyDescent="0.2"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7:26" ht="15.75" customHeight="1" x14ac:dyDescent="0.2"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7:26" ht="15.75" customHeight="1" x14ac:dyDescent="0.2"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7:26" ht="15.75" customHeight="1" x14ac:dyDescent="0.2"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7:26" ht="15.75" customHeight="1" x14ac:dyDescent="0.2"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7:26" ht="15.75" customHeight="1" x14ac:dyDescent="0.2"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7:26" ht="15.75" customHeight="1" x14ac:dyDescent="0.2"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7:26" ht="15.75" customHeight="1" x14ac:dyDescent="0.2"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7:26" ht="15.75" customHeight="1" x14ac:dyDescent="0.2"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7:26" ht="15.75" customHeight="1" x14ac:dyDescent="0.2"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7:26" ht="15.75" customHeight="1" x14ac:dyDescent="0.2"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7:26" ht="15.75" customHeight="1" x14ac:dyDescent="0.2"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7:26" ht="15.75" customHeight="1" x14ac:dyDescent="0.2"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7:26" ht="15.75" customHeight="1" x14ac:dyDescent="0.2"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7:26" ht="15.75" customHeight="1" x14ac:dyDescent="0.2"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7:26" ht="15.75" customHeight="1" x14ac:dyDescent="0.2"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7:26" ht="15.75" customHeight="1" x14ac:dyDescent="0.2"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7:26" ht="15.75" customHeight="1" x14ac:dyDescent="0.2"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7:26" ht="15.75" customHeight="1" x14ac:dyDescent="0.2"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7:26" ht="15.75" customHeight="1" x14ac:dyDescent="0.2"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7:26" ht="15.75" customHeight="1" x14ac:dyDescent="0.2"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7:26" ht="15.75" customHeight="1" x14ac:dyDescent="0.2"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7:26" ht="15.75" customHeight="1" x14ac:dyDescent="0.2"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7:26" ht="15.75" customHeight="1" x14ac:dyDescent="0.2"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7:26" ht="15.75" customHeight="1" x14ac:dyDescent="0.2"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7:26" ht="15.75" customHeight="1" x14ac:dyDescent="0.2"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7:26" ht="15.75" customHeight="1" x14ac:dyDescent="0.2"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7:26" ht="15.75" customHeight="1" x14ac:dyDescent="0.2"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7:26" ht="15.75" customHeight="1" x14ac:dyDescent="0.2"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7:26" ht="15.75" customHeight="1" x14ac:dyDescent="0.2"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7:26" ht="15.75" customHeight="1" x14ac:dyDescent="0.2"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7:26" ht="15.75" customHeight="1" x14ac:dyDescent="0.2"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7:26" ht="15.75" customHeight="1" x14ac:dyDescent="0.2"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7:26" ht="15.75" customHeight="1" x14ac:dyDescent="0.2"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7:26" ht="15.75" customHeight="1" x14ac:dyDescent="0.2"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7:26" ht="15.75" customHeight="1" x14ac:dyDescent="0.2"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7:26" ht="15.75" customHeight="1" x14ac:dyDescent="0.2"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7:26" ht="15.75" customHeight="1" x14ac:dyDescent="0.2"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7:26" ht="15.75" customHeight="1" x14ac:dyDescent="0.2"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7:26" ht="15.75" customHeight="1" x14ac:dyDescent="0.2"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7:26" ht="15.75" customHeight="1" x14ac:dyDescent="0.2"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7:26" ht="15.75" customHeight="1" x14ac:dyDescent="0.2"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7:26" ht="15.75" customHeight="1" x14ac:dyDescent="0.2"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7:26" ht="15.75" customHeight="1" x14ac:dyDescent="0.2"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7:26" ht="15.75" customHeight="1" x14ac:dyDescent="0.2"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7:26" ht="15.75" customHeight="1" x14ac:dyDescent="0.2"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7:26" ht="15.75" customHeight="1" x14ac:dyDescent="0.2"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7:26" ht="15.75" customHeight="1" x14ac:dyDescent="0.2"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7:26" ht="15.75" customHeight="1" x14ac:dyDescent="0.2"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7:26" ht="15.75" customHeight="1" x14ac:dyDescent="0.2"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7:26" ht="15.75" customHeight="1" x14ac:dyDescent="0.2"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7:26" ht="15.75" customHeight="1" x14ac:dyDescent="0.2"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7:26" ht="15.75" customHeight="1" x14ac:dyDescent="0.2"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7:26" ht="15.75" customHeight="1" x14ac:dyDescent="0.2"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7:26" ht="15.75" customHeight="1" x14ac:dyDescent="0.2"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7:26" ht="15.75" customHeight="1" x14ac:dyDescent="0.2"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7:26" ht="15.75" customHeight="1" x14ac:dyDescent="0.2"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7:26" ht="15.75" customHeight="1" x14ac:dyDescent="0.2"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7:26" ht="15.75" customHeight="1" x14ac:dyDescent="0.2"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7:26" ht="15.75" customHeight="1" x14ac:dyDescent="0.2"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7:26" ht="15.75" customHeight="1" x14ac:dyDescent="0.2"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7:26" ht="15.75" customHeight="1" x14ac:dyDescent="0.2"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7:26" ht="15.75" customHeight="1" x14ac:dyDescent="0.2"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7:26" ht="15.75" customHeight="1" x14ac:dyDescent="0.2"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7:26" ht="15.75" customHeight="1" x14ac:dyDescent="0.2"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7:26" ht="15.75" customHeight="1" x14ac:dyDescent="0.2"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7:26" ht="15.75" customHeight="1" x14ac:dyDescent="0.2"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7:26" ht="15.75" customHeight="1" x14ac:dyDescent="0.2"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7:26" ht="15.75" customHeight="1" x14ac:dyDescent="0.2"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7:26" ht="15.75" customHeight="1" x14ac:dyDescent="0.2"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7:26" ht="15.75" customHeight="1" x14ac:dyDescent="0.2"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7:26" ht="15.75" customHeight="1" x14ac:dyDescent="0.2"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7:26" ht="15.75" customHeight="1" x14ac:dyDescent="0.2"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7:26" ht="15.75" customHeight="1" x14ac:dyDescent="0.2"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7:26" ht="15.75" customHeight="1" x14ac:dyDescent="0.2"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7:26" ht="15.75" customHeight="1" x14ac:dyDescent="0.2"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7:26" ht="15.75" customHeight="1" x14ac:dyDescent="0.2"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7:26" ht="15.75" customHeight="1" x14ac:dyDescent="0.2"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7:26" ht="15.75" customHeight="1" x14ac:dyDescent="0.2"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7:26" ht="15.75" customHeight="1" x14ac:dyDescent="0.2"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7:26" ht="15.75" customHeight="1" x14ac:dyDescent="0.2"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7:26" ht="15.75" customHeight="1" x14ac:dyDescent="0.2"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7:26" ht="15.75" customHeight="1" x14ac:dyDescent="0.2"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7:26" ht="15.75" customHeight="1" x14ac:dyDescent="0.2"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7:26" ht="15.75" customHeight="1" x14ac:dyDescent="0.2"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7:26" ht="15.75" customHeight="1" x14ac:dyDescent="0.2"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7:26" ht="15.75" customHeight="1" x14ac:dyDescent="0.2"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7:26" ht="15.75" customHeight="1" x14ac:dyDescent="0.2"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7:26" ht="15.75" customHeight="1" x14ac:dyDescent="0.2"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7:26" ht="15.75" customHeight="1" x14ac:dyDescent="0.2"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7:26" ht="15.75" customHeight="1" x14ac:dyDescent="0.2"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7:26" ht="15.75" customHeight="1" x14ac:dyDescent="0.2"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7:26" ht="15.75" customHeight="1" x14ac:dyDescent="0.2"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7:26" ht="15.75" customHeight="1" x14ac:dyDescent="0.2"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7:26" ht="15.75" customHeight="1" x14ac:dyDescent="0.2"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7:26" ht="15.75" customHeight="1" x14ac:dyDescent="0.2"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7:26" ht="15.75" customHeight="1" x14ac:dyDescent="0.2"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7:26" ht="15.75" customHeight="1" x14ac:dyDescent="0.2"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7:26" ht="15.75" customHeight="1" x14ac:dyDescent="0.2"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7:26" ht="15.75" customHeight="1" x14ac:dyDescent="0.2"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7:26" ht="15.75" customHeight="1" x14ac:dyDescent="0.2"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7:26" ht="15.75" customHeight="1" x14ac:dyDescent="0.2"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7:26" ht="15.75" customHeight="1" x14ac:dyDescent="0.2"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7:26" ht="15.75" customHeight="1" x14ac:dyDescent="0.2"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7:26" ht="15.75" customHeight="1" x14ac:dyDescent="0.2"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7:26" ht="15.75" customHeight="1" x14ac:dyDescent="0.2"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7:26" ht="15.75" customHeight="1" x14ac:dyDescent="0.2"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7:26" ht="15.75" customHeight="1" x14ac:dyDescent="0.2"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7:26" ht="15.75" customHeight="1" x14ac:dyDescent="0.2"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7:26" ht="15.75" customHeight="1" x14ac:dyDescent="0.2"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7:26" ht="15.75" customHeight="1" x14ac:dyDescent="0.2"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7:26" ht="15.75" customHeight="1" x14ac:dyDescent="0.2"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7:26" ht="15.75" customHeight="1" x14ac:dyDescent="0.2"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7:26" ht="15.75" customHeight="1" x14ac:dyDescent="0.2"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7:26" ht="15.75" customHeight="1" x14ac:dyDescent="0.2"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7:26" ht="15.75" customHeight="1" x14ac:dyDescent="0.2"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7:26" ht="15.75" customHeight="1" x14ac:dyDescent="0.2"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7:26" ht="15.75" customHeight="1" x14ac:dyDescent="0.2"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7:26" ht="15.75" customHeight="1" x14ac:dyDescent="0.2"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7:26" ht="15.75" customHeight="1" x14ac:dyDescent="0.2"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7:26" ht="15.75" customHeight="1" x14ac:dyDescent="0.2"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7:26" ht="15.75" customHeight="1" x14ac:dyDescent="0.2"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7:26" ht="15.75" customHeight="1" x14ac:dyDescent="0.2"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7:26" ht="15.75" customHeight="1" x14ac:dyDescent="0.2"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7:26" ht="15.75" customHeight="1" x14ac:dyDescent="0.2"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7:26" ht="15.75" customHeight="1" x14ac:dyDescent="0.2"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7:26" ht="15.75" customHeight="1" x14ac:dyDescent="0.2"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7:26" ht="15.75" customHeight="1" x14ac:dyDescent="0.2"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7:26" ht="15.75" customHeight="1" x14ac:dyDescent="0.2"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7:26" ht="15.75" customHeight="1" x14ac:dyDescent="0.2"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7:26" ht="15.75" customHeight="1" x14ac:dyDescent="0.2"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7:26" ht="15.75" customHeight="1" x14ac:dyDescent="0.2"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7:26" ht="15.75" customHeight="1" x14ac:dyDescent="0.2"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7:26" ht="15.75" customHeight="1" x14ac:dyDescent="0.2"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7:26" ht="15.75" customHeight="1" x14ac:dyDescent="0.2"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7:26" ht="15.75" customHeight="1" x14ac:dyDescent="0.2"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7:26" ht="15.75" customHeight="1" x14ac:dyDescent="0.2"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7:26" ht="15.75" customHeight="1" x14ac:dyDescent="0.2"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7:26" ht="15.75" customHeight="1" x14ac:dyDescent="0.2"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7:26" ht="15.75" customHeight="1" x14ac:dyDescent="0.2"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7:26" ht="15.75" customHeight="1" x14ac:dyDescent="0.2"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7:26" ht="15.75" customHeight="1" x14ac:dyDescent="0.2"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7:26" ht="15.75" customHeight="1" x14ac:dyDescent="0.2"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7:26" ht="15.75" customHeight="1" x14ac:dyDescent="0.2"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7:26" ht="15.75" customHeight="1" x14ac:dyDescent="0.2"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7:26" ht="15.75" customHeight="1" x14ac:dyDescent="0.2"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7:26" ht="15.75" customHeight="1" x14ac:dyDescent="0.2"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7:26" ht="15.75" customHeight="1" x14ac:dyDescent="0.2"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7:26" ht="15.75" customHeight="1" x14ac:dyDescent="0.2"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7:26" ht="15.75" customHeight="1" x14ac:dyDescent="0.2"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7:26" ht="15.75" customHeight="1" x14ac:dyDescent="0.2"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7:26" ht="15.75" customHeight="1" x14ac:dyDescent="0.2"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7:26" ht="15.75" customHeight="1" x14ac:dyDescent="0.2"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"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"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"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"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"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"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"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"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"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"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"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"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"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spans="1:26" ht="15.75" customHeight="1" x14ac:dyDescent="0.2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</sheetData>
  <pageMargins left="0.25" right="0.25" top="0.75" bottom="0.75" header="0.3" footer="0.3"/>
  <pageSetup scale="94" orientation="landscape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66FF"/>
  </sheetPr>
  <dimension ref="A1:Z998"/>
  <sheetViews>
    <sheetView showGridLines="0" workbookViewId="0">
      <selection activeCell="G8" sqref="G8"/>
    </sheetView>
  </sheetViews>
  <sheetFormatPr defaultColWidth="11.21875" defaultRowHeight="15" customHeight="1" x14ac:dyDescent="0.2"/>
  <cols>
    <col min="1" max="1" width="3" style="34" customWidth="1"/>
    <col min="2" max="3" width="12.44140625" style="34" customWidth="1"/>
    <col min="4" max="4" width="16.5546875" style="34" customWidth="1"/>
    <col min="5" max="6" width="11.5546875" style="34" customWidth="1"/>
    <col min="7" max="7" width="15.88671875" style="34" customWidth="1"/>
    <col min="8" max="26" width="8.5546875" style="34" customWidth="1"/>
    <col min="27" max="16384" width="11.21875" style="34"/>
  </cols>
  <sheetData>
    <row r="1" spans="1:26" ht="27" customHeight="1" x14ac:dyDescent="0.2">
      <c r="A1" s="17"/>
      <c r="B1" s="68" t="s">
        <v>590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 x14ac:dyDescent="0.2">
      <c r="A3" s="17"/>
      <c r="B3" s="60" t="s">
        <v>594</v>
      </c>
      <c r="C3" s="61" t="s">
        <v>22</v>
      </c>
      <c r="D3" s="62" t="s">
        <v>2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 x14ac:dyDescent="0.2">
      <c r="A4" s="17"/>
      <c r="B4" s="58" t="s">
        <v>567</v>
      </c>
      <c r="C4" s="35">
        <v>5117067.8219999997</v>
      </c>
      <c r="D4" s="59">
        <v>4916102.3639000002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 x14ac:dyDescent="0.2">
      <c r="A5" s="17"/>
      <c r="B5" s="58" t="s">
        <v>568</v>
      </c>
      <c r="C5" s="35">
        <v>3682842.73</v>
      </c>
      <c r="D5" s="59">
        <v>3728029.3977000001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 x14ac:dyDescent="0.2">
      <c r="A6" s="17"/>
      <c r="B6" s="58" t="s">
        <v>569</v>
      </c>
      <c r="C6" s="35">
        <v>5859151.6435000002</v>
      </c>
      <c r="D6" s="59">
        <v>5985917.5733000003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customFormat="1" ht="15.75" customHeight="1" x14ac:dyDescent="0.25">
      <c r="A7" s="1"/>
      <c r="B7" s="63" t="s">
        <v>9</v>
      </c>
      <c r="C7" s="64">
        <v>14659062.195499999</v>
      </c>
      <c r="D7" s="65">
        <v>14630049.334899999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7"/>
      <c r="G8" s="68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 x14ac:dyDescent="0.2">
      <c r="A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2">
      <c r="A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">
      <c r="A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 x14ac:dyDescent="0.2">
      <c r="A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 x14ac:dyDescent="0.2">
      <c r="A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 x14ac:dyDescent="0.2">
      <c r="A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 x14ac:dyDescent="0.2">
      <c r="A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 x14ac:dyDescent="0.2">
      <c r="A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 x14ac:dyDescent="0.2">
      <c r="A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 x14ac:dyDescent="0.2">
      <c r="A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 x14ac:dyDescent="0.2">
      <c r="A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 x14ac:dyDescent="0.2">
      <c r="A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">
      <c r="A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">
      <c r="A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">
      <c r="A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">
      <c r="A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">
      <c r="A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</sheetData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C66FF"/>
  </sheetPr>
  <dimension ref="A1:Y1000"/>
  <sheetViews>
    <sheetView showGridLines="0" workbookViewId="0"/>
  </sheetViews>
  <sheetFormatPr defaultColWidth="11.21875" defaultRowHeight="15" customHeight="1" x14ac:dyDescent="0.2"/>
  <cols>
    <col min="1" max="1" width="11.77734375" style="34" customWidth="1"/>
    <col min="2" max="2" width="12.5546875" style="34" customWidth="1"/>
    <col min="3" max="3" width="10.109375" style="34" customWidth="1"/>
    <col min="4" max="5" width="11.5546875" style="34" customWidth="1"/>
    <col min="6" max="6" width="15.88671875" style="34" customWidth="1"/>
    <col min="7" max="25" width="8.5546875" style="34" customWidth="1"/>
    <col min="26" max="16384" width="11.21875" style="34"/>
  </cols>
  <sheetData>
    <row r="1" spans="1:25" ht="24.75" customHeight="1" x14ac:dyDescent="0.2">
      <c r="A1" s="68" t="s">
        <v>591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15.75" customHeight="1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 ht="22.5" customHeight="1" x14ac:dyDescent="0.2">
      <c r="A3" s="8" t="s">
        <v>592</v>
      </c>
      <c r="B3" s="8" t="s">
        <v>12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ht="15.75" customHeight="1" x14ac:dyDescent="0.2">
      <c r="A4" s="66" t="s">
        <v>567</v>
      </c>
      <c r="B4" s="67">
        <v>23629.824400000001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ht="15.75" customHeight="1" x14ac:dyDescent="0.2">
      <c r="A5" s="66" t="s">
        <v>568</v>
      </c>
      <c r="B5" s="67">
        <v>43756.256999999998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ht="15.75" customHeight="1" x14ac:dyDescent="0.2">
      <c r="A6" s="66" t="s">
        <v>569</v>
      </c>
      <c r="B6" s="67">
        <v>68696.712700000004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customFormat="1" ht="15.75" customHeight="1" x14ac:dyDescent="0.25">
      <c r="A7" s="66" t="s">
        <v>9</v>
      </c>
      <c r="B7" s="67">
        <v>136082.7941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2"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ht="15.75" customHeight="1" x14ac:dyDescent="0.2"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ht="15.75" customHeight="1" x14ac:dyDescent="0.2"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15.75" customHeight="1" x14ac:dyDescent="0.2"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15.75" customHeight="1" x14ac:dyDescent="0.2"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15.75" customHeight="1" x14ac:dyDescent="0.2"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15.75" customHeight="1" x14ac:dyDescent="0.2"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15.75" customHeight="1" x14ac:dyDescent="0.2"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15.75" customHeight="1" x14ac:dyDescent="0.2"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15.75" customHeight="1" x14ac:dyDescent="0.2"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15.75" customHeight="1" x14ac:dyDescent="0.2"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15.75" customHeight="1" x14ac:dyDescent="0.2"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15.75" customHeight="1" x14ac:dyDescent="0.2"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5.75" customHeight="1" x14ac:dyDescent="0.2"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15.75" customHeight="1" x14ac:dyDescent="0.2"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15.75" customHeight="1" x14ac:dyDescent="0.2"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15.75" customHeight="1" x14ac:dyDescent="0.2"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15.75" customHeight="1" x14ac:dyDescent="0.2"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15.75" customHeight="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15.7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15.7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15.75" customHeight="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15.75" customHeight="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ht="15.75" customHeight="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15.75" customHeight="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15.75" customHeight="1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15.75" customHeight="1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15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ht="15.75" customHeight="1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ht="15.75" customHeight="1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ht="15.75" customHeight="1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ht="15.75" customHeight="1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ht="15.75" customHeight="1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ht="15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 ht="15.75" customHeight="1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ht="15.75" customHeight="1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ht="15.75" customHeight="1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 ht="15.75" customHeight="1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ht="15.75" customHeight="1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ht="15.75" customHeight="1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5" ht="15.75" customHeight="1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ht="15.75" customHeight="1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 ht="15.75" customHeight="1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 ht="15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spans="1:25" ht="15.75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spans="1:25" ht="15.75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spans="1:25" ht="15.75" customHeight="1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spans="1:25" ht="15.7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spans="1:25" ht="15.7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25" ht="15.75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spans="1:25" ht="15.75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spans="1:25" ht="15.75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spans="1:25" ht="15.75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spans="1:25" ht="15.75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spans="1:25" ht="15.75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spans="1:25" ht="15.75" customHeight="1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spans="1:25" ht="15.75" customHeight="1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spans="1:25" ht="15.75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spans="1:25" ht="15.75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spans="1:25" ht="15.75" customHeight="1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spans="1:25" ht="15.75" customHeight="1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spans="1:25" ht="15.7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spans="1:25" ht="15.75" customHeight="1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spans="1:25" ht="15.75" customHeight="1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spans="1:25" ht="15.75" customHeight="1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spans="1:25" ht="15.75" customHeight="1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spans="1:25" ht="15.75" customHeight="1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spans="1:25" ht="15.75" customHeight="1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spans="1:25" ht="15.75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spans="1:25" ht="15.7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spans="1:25" ht="15.75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 ht="15.7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spans="1:25" ht="15.75" customHeight="1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spans="1:25" ht="15.75" customHeight="1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spans="1:25" ht="15.75" customHeight="1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spans="1:25" ht="15.75" customHeight="1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spans="1:25" ht="15.75" customHeight="1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spans="1:25" ht="15.75" customHeight="1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spans="1:25" ht="15.75" customHeight="1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spans="1:25" ht="15.75" customHeight="1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spans="1:25" ht="15.75" customHeight="1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spans="1:25" ht="15.75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spans="1:25" ht="15.75" customHeight="1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spans="1:25" ht="15.75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spans="1:25" ht="15.7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spans="1:25" ht="15.75" customHeight="1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spans="1:25" ht="15.75" customHeight="1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spans="1:25" ht="15.7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spans="1:25" ht="15.7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spans="1:25" ht="15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spans="1:25" ht="15.75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spans="1:25" ht="15.7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spans="1:25" ht="15.75" customHeight="1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spans="1:25" ht="15.7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spans="1:25" ht="15.75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spans="1:25" ht="15.75" customHeight="1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spans="1:25" ht="15.75" customHeight="1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spans="1:25" ht="15.75" customHeight="1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spans="1:25" ht="15.75" customHeight="1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spans="1:25" ht="15.75" customHeight="1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spans="1:25" ht="15.75" customHeight="1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spans="1:25" ht="15.75" customHeight="1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spans="1:25" ht="15.75" customHeight="1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spans="1:25" ht="15.75" customHeight="1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spans="1:25" ht="15.75" customHeight="1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spans="1:25" ht="15.75" customHeight="1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spans="1:25" ht="15.75" customHeight="1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spans="1:25" ht="15.75" customHeight="1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spans="1:25" ht="15.75" customHeight="1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spans="1:25" ht="15.75" customHeight="1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spans="1:25" ht="15.75" customHeight="1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spans="1:25" ht="15.75" customHeight="1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spans="1:25" ht="15.75" customHeight="1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spans="1:25" ht="15.75" customHeight="1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spans="1:25" ht="15.75" customHeight="1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spans="1:25" ht="15.75" customHeight="1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spans="1:25" ht="15.75" customHeight="1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spans="1:25" ht="15.75" customHeight="1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spans="1:25" ht="15.75" customHeight="1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spans="1:25" ht="15.75" customHeight="1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spans="1:25" ht="15.75" customHeight="1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spans="1:25" ht="15.75" customHeight="1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spans="1:25" ht="15.75" customHeight="1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spans="1:25" ht="15.75" customHeight="1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spans="1:25" ht="15.75" customHeight="1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spans="1:25" ht="15.75" customHeight="1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spans="1:25" ht="15.75" customHeight="1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spans="1:25" ht="15.75" customHeight="1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spans="1:25" ht="15.75" customHeight="1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spans="1:25" ht="15.75" customHeight="1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spans="1:25" ht="15.75" customHeight="1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spans="1:25" ht="15.75" customHeight="1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spans="1:25" ht="15.75" customHeight="1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spans="1:25" ht="15.75" customHeight="1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spans="1:25" ht="15.75" customHeight="1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spans="1:25" ht="15.75" customHeight="1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spans="1:25" ht="15.75" customHeight="1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spans="1:25" ht="15.75" customHeight="1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spans="1:25" ht="15.75" customHeight="1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spans="1:25" ht="15.75" customHeight="1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spans="1:25" ht="15.75" customHeight="1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spans="1:25" ht="15.75" customHeight="1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spans="1:25" ht="15.75" customHeight="1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spans="1:25" ht="15.75" customHeight="1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spans="1:25" ht="15.75" customHeight="1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spans="1:25" ht="15.75" customHeight="1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spans="1:25" ht="15.75" customHeight="1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spans="1:25" ht="15.75" customHeight="1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spans="1:25" ht="15.75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spans="1:25" ht="15.75" customHeight="1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spans="1:25" ht="15.75" customHeight="1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spans="1:25" ht="15.75" customHeight="1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spans="1:25" ht="15.75" customHeight="1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spans="1:25" ht="15.75" customHeight="1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spans="1:25" ht="15.75" customHeight="1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spans="1:25" ht="15.75" customHeight="1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spans="1:25" ht="15.75" customHeight="1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spans="1:25" ht="15.75" customHeight="1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spans="1:25" ht="15.75" customHeight="1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spans="1:25" ht="15.75" customHeight="1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spans="1:25" ht="15.75" customHeight="1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spans="1:25" ht="15.75" customHeight="1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spans="1:25" ht="15.75" customHeight="1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spans="1:25" ht="15.75" customHeight="1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spans="1:25" ht="15.75" customHeight="1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spans="1:25" ht="15.75" customHeight="1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spans="1:25" ht="15.75" customHeight="1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spans="1:25" ht="15.75" customHeight="1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spans="1:25" ht="15.75" customHeight="1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spans="1:25" ht="15.75" customHeight="1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spans="1:25" ht="15.75" customHeight="1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spans="1:25" ht="15.75" customHeight="1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spans="1:25" ht="15.75" customHeight="1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spans="1:25" ht="15.75" customHeight="1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spans="1:25" ht="15.75" customHeight="1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spans="1:25" ht="15.75" customHeight="1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spans="1:25" ht="15.75" customHeight="1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spans="1:25" ht="15.75" customHeight="1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spans="1:25" ht="15.75" customHeight="1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spans="1:25" ht="15.75" customHeight="1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spans="1:25" ht="15.75" customHeight="1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spans="1:25" ht="15.75" customHeight="1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spans="1:25" ht="15.75" customHeight="1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spans="1:25" ht="15.75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spans="1:25" ht="15.75" customHeight="1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spans="1:25" ht="15.75" customHeight="1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spans="1:25" ht="15.75" customHeight="1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spans="1:25" ht="15.75" customHeight="1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spans="1:25" ht="15.75" customHeight="1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spans="1:25" ht="15.75" customHeight="1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spans="1:25" ht="15.75" customHeight="1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spans="1:25" ht="15.7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spans="1:25" ht="15.75" customHeight="1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spans="1:25" ht="15.75" customHeight="1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spans="1:25" ht="15.7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spans="1:25" ht="15.75" customHeight="1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spans="1:25" ht="15.75" customHeight="1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spans="1:25" ht="15.75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spans="1:25" ht="15.75" customHeight="1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spans="1:25" ht="15.75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spans="1:25" ht="15.75" customHeight="1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spans="1:25" ht="15.75" customHeight="1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spans="1:25" ht="15.75" customHeight="1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spans="1:25" ht="15.75" customHeight="1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spans="1:25" ht="15.75" customHeight="1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spans="1:25" ht="15.75" customHeight="1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spans="1:25" ht="15.7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spans="1:25" ht="15.7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spans="1:25" ht="15.75" customHeight="1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spans="1:25" ht="15.7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spans="1:25" ht="15.7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spans="1:25" ht="15.75" customHeight="1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spans="1:25" ht="15.75" customHeight="1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spans="1:25" ht="15.75" customHeight="1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spans="1:25" ht="15.7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spans="1:25" ht="15.7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spans="1:25" ht="15.7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spans="1:25" ht="15.7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spans="1:25" ht="15.7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spans="1:25" ht="15.7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spans="1:25" ht="15.7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spans="1:25" ht="15.7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spans="1:25" ht="15.7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spans="1:25" ht="15.7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spans="1:25" ht="15.7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spans="1:25" ht="15.7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spans="1:25" ht="15.7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spans="1:25" ht="15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spans="1:25" ht="15.7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spans="1:25" ht="15.7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spans="1:25" ht="15.7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spans="1:25" ht="15.7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spans="1:25" ht="15.7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spans="1:25" ht="15.7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spans="1:25" ht="15.7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spans="1:25" ht="15.7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spans="1:25" ht="15.7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spans="1:25" ht="15.7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spans="1:25" ht="15.7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spans="1:25" ht="15.7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spans="1:25" ht="15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spans="1:25" ht="15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spans="1:25" ht="15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spans="1:25" ht="15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spans="1:25" ht="15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spans="1:25" ht="15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spans="1:25" ht="15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spans="1:25" ht="15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spans="1:25" ht="15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spans="1:25" ht="15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spans="1:25" ht="15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spans="1:25" ht="15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spans="1:25" ht="15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spans="1:25" ht="15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spans="1:25" ht="15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spans="1:25" ht="15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spans="1:25" ht="15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spans="1:25" ht="15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spans="1:25" ht="15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spans="1:25" ht="15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spans="1:25" ht="15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spans="1:25" ht="15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spans="1:25" ht="15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spans="1:25" ht="15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spans="1:25" ht="15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spans="1:25" ht="15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spans="1:25" ht="15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spans="1:25" ht="15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spans="1:25" ht="15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spans="1:25" ht="15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spans="1:25" ht="15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spans="1:25" ht="15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spans="1:25" ht="15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spans="1:25" ht="15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spans="1:25" ht="15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spans="1:25" ht="15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spans="1:25" ht="15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spans="1:25" ht="15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spans="1:25" ht="15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spans="1:25" ht="15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spans="1:25" ht="15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spans="1:25" ht="15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spans="1:25" ht="15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spans="1:25" ht="15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spans="1:25" ht="15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spans="1:25" ht="15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spans="1:25" ht="15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spans="1:25" ht="15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spans="1:25" ht="15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spans="1:25" ht="15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spans="1:25" ht="15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spans="1:25" ht="15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spans="1:25" ht="15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spans="1:25" ht="15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spans="1:25" ht="15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spans="1:25" ht="15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spans="1:25" ht="15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spans="1:25" ht="15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spans="1:25" ht="15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spans="1:25" ht="15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spans="1:25" ht="15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spans="1:25" ht="15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spans="1:25" ht="15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spans="1:25" ht="15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spans="1:25" ht="15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spans="1:25" ht="15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spans="1:25" ht="15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spans="1:25" ht="15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spans="1:25" ht="15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spans="1:25" ht="15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spans="1:25" ht="15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spans="1:25" ht="15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spans="1:25" ht="15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spans="1:25" ht="15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spans="1:25" ht="15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spans="1:25" ht="15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spans="1:25" ht="15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spans="1:25" ht="15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spans="1:25" ht="15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spans="1:25" ht="15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spans="1:25" ht="15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spans="1:25" ht="15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spans="1:25" ht="15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spans="1:25" ht="15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spans="1:25" ht="15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spans="1:25" ht="15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spans="1:25" ht="15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spans="1:25" ht="15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spans="1:25" ht="15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spans="1:25" ht="15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spans="1:25" ht="15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spans="1:25" ht="15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spans="1:25" ht="15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spans="1:25" ht="15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spans="1:25" ht="15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spans="1:25" ht="15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spans="1:25" ht="15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spans="1:25" ht="15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spans="1:25" ht="15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spans="1:25" ht="15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spans="1:25" ht="15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spans="1:25" ht="15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spans="1:25" ht="15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spans="1:25" ht="15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spans="1:25" ht="15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spans="1:25" ht="15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spans="1:25" ht="15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spans="1:25" ht="15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spans="1:25" ht="15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spans="1:25" ht="15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spans="1:25" ht="15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spans="1:25" ht="15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spans="1:25" ht="15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spans="1:25" ht="15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spans="1:25" ht="15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spans="1:25" ht="15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spans="1:25" ht="15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spans="1:25" ht="15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spans="1:25" ht="15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spans="1:25" ht="15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spans="1:25" ht="15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spans="1:25" ht="15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spans="1:25" ht="15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spans="1:25" ht="15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spans="1:25" ht="15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spans="1:25" ht="15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spans="1:25" ht="15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spans="1:25" ht="15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spans="1:25" ht="15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spans="1:25" ht="15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spans="1:25" ht="15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spans="1:25" ht="15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spans="1:25" ht="15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spans="1:25" ht="15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spans="1:25" ht="15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spans="1:25" ht="15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spans="1:25" ht="15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spans="1:25" ht="15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spans="1:25" ht="15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spans="1:25" ht="15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spans="1:25" ht="15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spans="1:25" ht="15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spans="1:25" ht="15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spans="1:25" ht="15.7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spans="1:25" ht="15.7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spans="1:25" ht="15.7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spans="1:25" ht="15.7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spans="1:25" ht="15.7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spans="1:25" ht="15.7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spans="1:25" ht="15.7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spans="1:25" ht="15.7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spans="1:25" ht="15.7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spans="1:25" ht="15.7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spans="1:25" ht="15.7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spans="1:25" ht="15.7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spans="1:25" ht="15.7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spans="1:25" ht="15.7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spans="1:25" ht="15.7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spans="1:25" ht="15.7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spans="1:25" ht="15.7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spans="1:25" ht="15.7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spans="1:25" ht="15.7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spans="1:25" ht="15.7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spans="1:25" ht="15.7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spans="1:25" ht="15.7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spans="1:25" ht="15.7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spans="1:25" ht="15.7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spans="1:25" ht="15.7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spans="1:25" ht="15.7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spans="1:25" ht="15.7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spans="1:25" ht="15.7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spans="1:25" ht="15.7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spans="1:25" ht="15.7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spans="1:25" ht="15.7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spans="1:25" ht="15.7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spans="1:25" ht="15.7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spans="1:25" ht="15.7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spans="1:25" ht="15.7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spans="1:25" ht="15.7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spans="1:25" ht="15.7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spans="1:25" ht="15.7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spans="1:25" ht="15.7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spans="1:25" ht="15.7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spans="1:25" ht="15.7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spans="1:25" ht="15.7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spans="1:25" ht="15.7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spans="1:25" ht="15.7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spans="1:25" ht="15.7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spans="1:25" ht="15.7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spans="1:25" ht="15.7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spans="1:25" ht="15.7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spans="1:25" ht="15.7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spans="1:25" ht="15.7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spans="1:25" ht="15.7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spans="1:25" ht="15.7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spans="1:25" ht="15.7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spans="1:25" ht="15.7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spans="1:25" ht="15.7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spans="1:25" ht="15.7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spans="1:25" ht="15.7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spans="1:25" ht="15.7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spans="1:25" ht="15.7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spans="1:25" ht="15.7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spans="1:25" ht="15.7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spans="1:25" ht="15.7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spans="1:25" ht="15.7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spans="1:25" ht="15.7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spans="1:25" ht="15.7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spans="1:25" ht="15.7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spans="1:25" ht="15.7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spans="1:25" ht="15.7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spans="1:25" ht="15.7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spans="1:25" ht="15.7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spans="1:25" ht="15.7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spans="1:25" ht="15.7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spans="1:25" ht="15.7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spans="1:25" ht="15.7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spans="1:25" ht="15.7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spans="1:25" ht="15.7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spans="1:25" ht="15.7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spans="1:25" ht="15.7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spans="1:25" ht="15.7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spans="1:25" ht="15.7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spans="1:25" ht="15.7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spans="1:25" ht="15.7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spans="1:25" ht="15.7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spans="1:25" ht="15.7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spans="1:25" ht="15.7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spans="1:25" ht="15.7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spans="1:25" ht="15.7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spans="1:25" ht="15.7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spans="1:25" ht="15.7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spans="1:25" ht="15.7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spans="1:25" ht="15.7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spans="1:25" ht="15.7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spans="1:25" ht="15.7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spans="1:25" ht="15.7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spans="1:25" ht="15.7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spans="1:25" ht="15.7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spans="1:25" ht="15.7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spans="1:25" ht="15.7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spans="1:25" ht="15.7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spans="1:25" ht="15.7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spans="1:25" ht="15.7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spans="1:25" ht="15.7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spans="1:25" ht="15.7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spans="1:25" ht="15.7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spans="1:25" ht="15.7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spans="1:25" ht="15.7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spans="1:25" ht="15.7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spans="1:25" ht="15.7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spans="1:25" ht="15.7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spans="1:25" ht="15.7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spans="1:25" ht="15.7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spans="1:25" ht="15.7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spans="1:25" ht="15.7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spans="1:25" ht="15.7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spans="1:25" ht="15.7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spans="1:25" ht="15.7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spans="1:25" ht="15.7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spans="1:25" ht="15.7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spans="1:25" ht="15.7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spans="1:25" ht="15.7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spans="1:25" ht="15.7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spans="1:25" ht="15.7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spans="1:25" ht="15.7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spans="1:25" ht="15.7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spans="1:25" ht="15.7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spans="1:25" ht="15.7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spans="1:25" ht="15.7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spans="1:25" ht="15.7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spans="1:25" ht="15.7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spans="1:25" ht="15.7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spans="1:25" ht="15.7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spans="1:25" ht="15.7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spans="1:25" ht="15.7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spans="1:25" ht="15.7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spans="1:25" ht="15.7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spans="1:25" ht="15.7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spans="1:25" ht="15.7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spans="1:25" ht="15.7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spans="1:25" ht="15.7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spans="1:25" ht="15.7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spans="1:25" ht="15.7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spans="1:25" ht="15.7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spans="1:25" ht="15.7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spans="1:25" ht="15.7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spans="1:25" ht="15.7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spans="1:25" ht="15.7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spans="1:25" ht="15.7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spans="1:25" ht="15.7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spans="1:25" ht="15.7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spans="1:25" ht="15.7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spans="1:25" ht="15.7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spans="1:25" ht="15.7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spans="1:25" ht="15.7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spans="1:25" ht="15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spans="1:25" ht="15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spans="1:25" ht="15.7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spans="1:25" ht="15.7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spans="1:25" ht="15.7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spans="1:25" ht="15.7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spans="1:25" ht="15.7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spans="1:25" ht="15.7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spans="1:25" ht="15.7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spans="1:25" ht="15.7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spans="1:25" ht="15.7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spans="1:25" ht="15.7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spans="1:25" ht="15.7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spans="1:25" ht="15.7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spans="1:25" ht="15.7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spans="1:25" ht="15.7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spans="1:25" ht="15.7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spans="1:25" ht="15.7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spans="1:25" ht="15.7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spans="1:25" ht="15.7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spans="1:25" ht="15.7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spans="1:25" ht="15.7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spans="1:25" ht="15.7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spans="1:25" ht="15.7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spans="1:25" ht="15.7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spans="1:25" ht="15.7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spans="1:25" ht="15.7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spans="1:25" ht="15.7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spans="1:25" ht="15.7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spans="1:25" ht="15.7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spans="1:25" ht="15.7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spans="1:25" ht="15.7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spans="1:25" ht="15.7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spans="1:25" ht="15.7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spans="1:25" ht="15.7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spans="1:25" ht="15.7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spans="1:25" ht="15.7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spans="1:25" ht="15.7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spans="1:25" ht="15.7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spans="1:25" ht="15.7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spans="1:25" ht="15.7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spans="1:25" ht="15.7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spans="1:25" ht="15.7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spans="1:25" ht="15.7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spans="1:25" ht="15.7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spans="1:25" ht="15.7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spans="1:25" ht="15.7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spans="1:25" ht="15.7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spans="1:25" ht="15.7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spans="1:25" ht="15.7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spans="1:25" ht="15.7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spans="1:25" ht="15.7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spans="1:25" ht="15.7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spans="1:25" ht="15.7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spans="1:25" ht="15.7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spans="1:25" ht="15.7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spans="1:25" ht="15.7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spans="1:25" ht="15.7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spans="1:25" ht="15.7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spans="1:25" ht="15.7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spans="1:25" ht="15.7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spans="1:25" ht="15.7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spans="1:25" ht="15.7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spans="1:25" ht="15.7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spans="1:25" ht="15.7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spans="1:25" ht="15.7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spans="1:25" ht="15.7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spans="1:25" ht="15.7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spans="1:25" ht="15.7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spans="1:25" ht="15.7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spans="1:25" ht="15.7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spans="1:25" ht="15.7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spans="1:25" ht="15.7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spans="1:25" ht="15.7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spans="1:25" ht="15.7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spans="1:25" ht="15.7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spans="1:25" ht="15.7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spans="1:25" ht="15.7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spans="1:25" ht="15.7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spans="1:25" ht="15.7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spans="1:25" ht="15.7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spans="1:25" ht="15.7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spans="1:25" ht="15.7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spans="1:25" ht="15.7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spans="1:25" ht="15.7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spans="1:25" ht="15.7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spans="1:25" ht="15.7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spans="1:25" ht="15.7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spans="1:25" ht="15.7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spans="1:25" ht="15.7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spans="1:25" ht="15.7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spans="1:25" ht="15.7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spans="1:25" ht="15.7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spans="1:25" ht="15.7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spans="1:25" ht="15.7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spans="1:25" ht="15.7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spans="1:25" ht="15.7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spans="1:25" ht="15.7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spans="1:25" ht="15.7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spans="1:25" ht="15.7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spans="1:25" ht="15.7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spans="1:25" ht="15.7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spans="1:25" ht="15.7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spans="1:25" ht="15.7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spans="1:25" ht="15.7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spans="1:25" ht="15.7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spans="1:25" ht="15.7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spans="1:25" ht="15.7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spans="1:25" ht="15.7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spans="1:25" ht="15.7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spans="1:25" ht="15.7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spans="1:25" ht="15.7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spans="1:25" ht="15.7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spans="1:25" ht="15.7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spans="1:25" ht="15.7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spans="1:25" ht="15.7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spans="1:25" ht="15.7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spans="1:25" ht="15.7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spans="1:25" ht="15.7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spans="1:25" ht="15.7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spans="1:25" ht="15.7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spans="1:25" ht="15.7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spans="1:25" ht="15.7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spans="1:25" ht="15.7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spans="1:25" ht="15.7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spans="1:25" ht="15.7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spans="1:25" ht="15.7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spans="1:25" ht="15.7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spans="1:25" ht="15.7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spans="1:25" ht="15.7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spans="1:25" ht="15.7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spans="1:25" ht="15.7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spans="1:25" ht="15.7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spans="1:25" ht="15.7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spans="1:25" ht="15.7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spans="1:25" ht="15.7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spans="1:25" ht="15.7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spans="1:25" ht="15.7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spans="1:25" ht="15.7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spans="1:25" ht="15.7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spans="1:25" ht="15.7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spans="1:25" ht="15.7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spans="1:25" ht="15.7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spans="1:25" ht="15.7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spans="1:25" ht="15.7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spans="1:25" ht="15.7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spans="1:25" ht="15.7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spans="1:25" ht="15.7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spans="1:25" ht="15.7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spans="1:25" ht="15.7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spans="1:25" ht="15.7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spans="1:25" ht="15.7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spans="1:25" ht="15.7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spans="1:25" ht="15.7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spans="1:25" ht="15.7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spans="1:25" ht="15.7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spans="1:25" ht="15.7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spans="1:25" ht="15.7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spans="1:25" ht="15.7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spans="1:25" ht="15.7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spans="1:25" ht="15.7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spans="1:25" ht="15.7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spans="1:25" ht="15.7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spans="1:25" ht="15.7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spans="1:25" ht="15.7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spans="1:25" ht="15.7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spans="1:25" ht="15.7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spans="1:25" ht="15.7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spans="1:25" ht="15.7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spans="1:25" ht="15.7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spans="1:25" ht="15.7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spans="1:25" ht="15.7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spans="1:25" ht="15.7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spans="1:25" ht="15.7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spans="1:25" ht="15.7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spans="1:25" ht="15.7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spans="1:25" ht="15.7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spans="1:25" ht="15.7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spans="1:25" ht="15.7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spans="1:25" ht="15.7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spans="1:25" ht="15.7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spans="1:25" ht="15.7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spans="1:25" ht="15.7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spans="1:25" ht="15.7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spans="1:25" ht="15.7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spans="1:25" ht="15.7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spans="1:25" ht="15.7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spans="1:25" ht="15.7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spans="1:25" ht="15.7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spans="1:25" ht="15.7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spans="1:25" ht="15.7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spans="1:25" ht="15.7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spans="1:25" ht="15.7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spans="1:25" ht="15.7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spans="1:25" ht="15.7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spans="1:25" ht="15.7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spans="1:25" ht="15.7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spans="1:25" ht="15.7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spans="1:25" ht="15.7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spans="1:25" ht="15.7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spans="1:25" ht="15.7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spans="1:25" ht="15.7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spans="1:25" ht="15.7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spans="1:25" ht="15.7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spans="1:25" ht="15.7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spans="1:25" ht="15.7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spans="1:25" ht="15.7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spans="1:25" ht="15.7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spans="1:25" ht="15.7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spans="1:25" ht="15.7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spans="1:25" ht="15.7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spans="1:25" ht="15.7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spans="1:25" ht="15.7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spans="1:25" ht="15.7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spans="1:25" ht="15.7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spans="1:25" ht="15.7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spans="1:25" ht="15.7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spans="1:25" ht="15.7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spans="1:25" ht="15.7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spans="1:25" ht="15.7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spans="1:25" ht="15.7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spans="1:25" ht="15.7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spans="1:25" ht="15.7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spans="1:25" ht="15.7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spans="1:25" ht="15.7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spans="1:25" ht="15.7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spans="1:25" ht="15.7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spans="1:25" ht="15.7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spans="1:25" ht="15.7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spans="1:25" ht="15.7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spans="1:25" ht="15.7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spans="1:25" ht="15.7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spans="1:25" ht="15.7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spans="1:25" ht="15.7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spans="1:25" ht="15.7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spans="1:25" ht="15.7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spans="1:25" ht="15.7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spans="1:25" ht="15.7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spans="1:25" ht="15.7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spans="1:25" ht="15.7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spans="1:25" ht="15.7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spans="1:25" ht="15.7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spans="1:25" ht="15.7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spans="1:25" ht="15.7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spans="1:25" ht="15.7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spans="1:25" ht="15.7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spans="1:25" ht="15.7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spans="1:25" ht="15.7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spans="1:25" ht="15.7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spans="1:25" ht="15.7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spans="1:25" ht="15.7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spans="1:25" ht="15.7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spans="1:25" ht="15.7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spans="1:25" ht="15.7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spans="1:25" ht="15.7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spans="1:25" ht="15.7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spans="1:25" ht="15.7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spans="1:25" ht="15.7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spans="1:25" ht="15.7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spans="1:25" ht="15.7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spans="1:25" ht="15.7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spans="1:25" ht="15.7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spans="1:25" ht="15.7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spans="1:25" ht="15.7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spans="1:25" ht="15.7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spans="1:25" ht="15.7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spans="1:25" ht="15.7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spans="1:25" ht="15.7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spans="1:25" ht="15.7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spans="1:25" ht="15.7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spans="1:25" ht="15.7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spans="1:25" ht="15.7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spans="1:25" ht="15.7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spans="1:25" ht="15.7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spans="1:25" ht="15.7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spans="1:25" ht="15.7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spans="1:25" ht="15.7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spans="1:25" ht="15.7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spans="1:25" ht="15.7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spans="1:25" ht="15.7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spans="1:25" ht="15.7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spans="1:25" ht="15.7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spans="1:25" ht="15.7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spans="1:25" ht="15.7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spans="1:25" ht="15.7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spans="1:25" ht="15.7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spans="1:25" ht="15.7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spans="1:25" ht="15.7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spans="1:25" ht="15.7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spans="1:25" ht="15.7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spans="1:25" ht="15.7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spans="1:25" ht="15.7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spans="1:25" ht="15.7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spans="1:25" ht="15.7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spans="1:25" ht="15.7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spans="1:25" ht="15.7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spans="1:25" ht="15.7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spans="1:25" ht="15.7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spans="1:25" ht="15.7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spans="1:25" ht="15.7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spans="1:25" ht="15.7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spans="1:25" ht="15.7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spans="1:25" ht="15.7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spans="1:25" ht="15.7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spans="1:25" ht="15.7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spans="1:25" ht="15.7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spans="1:25" ht="15.7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spans="1:25" ht="15.7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spans="1:25" ht="15.7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spans="1:25" ht="15.7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spans="1:25" ht="15.7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spans="1:25" ht="15.7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spans="1:25" ht="15.7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spans="1:25" ht="15.7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spans="1:25" ht="15.7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spans="1:25" ht="15.7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spans="1:25" ht="15.7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spans="1:25" ht="15.7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spans="1:25" ht="15.7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spans="1:25" ht="15.7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spans="1:25" ht="15.7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spans="1:25" ht="15.7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spans="1:25" ht="15.7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spans="1:25" ht="15.7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spans="1:25" ht="15.7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spans="1:25" ht="15.7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spans="1:25" ht="15.7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spans="1:25" ht="15.7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spans="1:25" ht="15.7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spans="1:25" ht="15.7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spans="1:25" ht="15.7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spans="1:25" ht="15.7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spans="1:25" ht="15.7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spans="1:25" ht="15.7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spans="1:25" ht="15.7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spans="1:25" ht="15.7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spans="1:25" ht="15.7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spans="1:25" ht="15.7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spans="1:25" ht="15.7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spans="1:25" ht="15.7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spans="1:25" ht="15.7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spans="1:25" ht="15.7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spans="1:25" ht="15.7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spans="1:25" ht="15.7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spans="1:25" ht="15.7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spans="1:25" ht="15.7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spans="1:25" ht="15.7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spans="1:25" ht="15.7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spans="1:25" ht="15.7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spans="1:25" ht="15.7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spans="1:25" ht="15.7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spans="1:25" ht="15.7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spans="1:25" ht="15.7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spans="1:25" ht="15.7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spans="1:25" ht="15.7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spans="1:25" ht="15.7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spans="1:25" ht="15.7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spans="1:25" ht="15.7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spans="1:25" ht="15.7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spans="1:25" ht="15.7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spans="1:25" ht="15.7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spans="1:25" ht="15.7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spans="1:25" ht="15.7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spans="1:25" ht="15.7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spans="1:25" ht="15.7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spans="1:25" ht="15.7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spans="1:25" ht="15.7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spans="1:25" ht="15.7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spans="1:25" ht="15.7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spans="1:25" ht="15.7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spans="1:25" ht="15.7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spans="1:25" ht="15.7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spans="1:25" ht="15.7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spans="1:25" ht="15.7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spans="1:25" ht="15.7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spans="1:25" ht="15.7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spans="1:25" ht="15.7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spans="1:25" ht="15.7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spans="1:25" ht="15.7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spans="1:25" ht="15.7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spans="1:25" ht="15.7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spans="1:25" ht="15.7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spans="1:25" ht="15.7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spans="1:25" ht="15.7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spans="1:25" ht="15.7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spans="1:25" ht="15.7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spans="1:25" ht="15.7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spans="1:25" ht="15.7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spans="1:25" ht="15.7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spans="1:25" ht="15.7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spans="1:25" ht="15.7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spans="1:25" ht="15.7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spans="1:25" ht="15.7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spans="1:25" ht="15.7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spans="1:25" ht="15.7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spans="1:25" ht="15.7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spans="1:25" ht="15.7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spans="1:25" ht="15.7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spans="1:25" ht="15.7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spans="1:25" ht="15.7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spans="1:25" ht="15.7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spans="1:25" ht="15.7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spans="1:25" ht="15.7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spans="1:25" ht="15.7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spans="1:25" ht="15.7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spans="1:25" ht="15.7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spans="1:25" ht="15.7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spans="1:25" ht="15.7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spans="1:25" ht="15.7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spans="1:25" ht="15.7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spans="1:25" ht="15.7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spans="1:25" ht="15.7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spans="1:25" ht="15.7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spans="1:25" ht="15.7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spans="1:25" ht="15.7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spans="1:25" ht="15.7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spans="1:25" ht="15.7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spans="1:25" ht="15.7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spans="1:25" ht="15.7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spans="1:25" ht="15.7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spans="1:25" ht="15.7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spans="1:25" ht="15.7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spans="1:25" ht="15.7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spans="1:25" ht="15.7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spans="1:25" ht="15.7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spans="1:25" ht="15.7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spans="1:25" ht="15.7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spans="1:25" ht="15.7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spans="1:25" ht="15.7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spans="1:25" ht="15.7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spans="1:25" ht="15.7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spans="1:25" ht="15.7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spans="1:25" ht="15.7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spans="1:25" ht="15.7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spans="1:25" ht="15.7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spans="1:25" ht="15.7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spans="1:25" ht="15.7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spans="1:25" ht="15.7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spans="1:25" ht="15.7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spans="1:25" ht="15.7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spans="1:25" ht="15.7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spans="1:25" ht="15.7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spans="1:25" ht="15.7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spans="1:25" ht="15.7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spans="1:25" ht="15.7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spans="1:25" ht="15.7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spans="1:25" ht="15.7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spans="1:25" ht="15.7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spans="1:25" ht="15.7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spans="1:25" ht="15.7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spans="1:25" ht="15.7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spans="1:25" ht="15.7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spans="1:25" ht="15.7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spans="1:25" ht="15.7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 spans="1:25" ht="15.7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 spans="1:25" ht="15.75" customHeight="1" x14ac:dyDescent="0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 spans="1:25" ht="15.75" customHeight="1" x14ac:dyDescent="0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</sheetData>
  <pageMargins left="0.7" right="0.7" top="0.75" bottom="0.75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Sales by Qtr</vt:lpstr>
      <vt:lpstr>Sales by Region</vt:lpstr>
      <vt:lpstr>Sales by Month</vt:lpstr>
      <vt:lpstr>Sales by State</vt:lpstr>
      <vt:lpstr>Profit by City</vt:lpstr>
      <vt:lpstr>Product sales v. Profit</vt:lpstr>
      <vt:lpstr>Shipping Cost v. Delivery Mode</vt:lpstr>
      <vt:lpstr>Marketing Channel v. Customer</vt:lpstr>
      <vt:lpstr>Marketing Channel v. Profit</vt:lpstr>
      <vt:lpstr>Marketing Channels v. Sales Per</vt:lpstr>
      <vt:lpstr>Product Category</vt:lpstr>
      <vt:lpstr>Product 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Aboagye</dc:creator>
  <cp:lastModifiedBy>michael</cp:lastModifiedBy>
  <cp:lastPrinted>2025-12-22T10:06:58Z</cp:lastPrinted>
  <dcterms:created xsi:type="dcterms:W3CDTF">2024-09-28T20:10:53Z</dcterms:created>
  <dcterms:modified xsi:type="dcterms:W3CDTF">2025-12-22T10:07:12Z</dcterms:modified>
</cp:coreProperties>
</file>